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45294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45294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</row>
    <row r="4" ht="15" customHeight="1">
      <c r="A4" t="inlineStr">
        <is>
          <t>A 4794-2019</t>
        </is>
      </c>
      <c r="B4" s="1" t="n">
        <v>43486</v>
      </c>
      <c r="C4" s="1" t="n">
        <v>45294</v>
      </c>
      <c r="D4" t="inlineStr">
        <is>
          <t>STOCKHOLMS LÄN</t>
        </is>
      </c>
      <c r="E4" t="inlineStr">
        <is>
          <t>SIGTUNA</t>
        </is>
      </c>
      <c r="G4" t="n">
        <v>1.3</v>
      </c>
      <c r="H4" t="n">
        <v>0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Läderdoftande fingersvamp
Motaggsvamp
Svart taggsvamp
Tallticka
Blomkålssvamp
Grovticka
Skarp dropptaggsvamp</t>
        </is>
      </c>
      <c r="S4">
        <f>HYPERLINK("https://klasma.github.io/Logging_0191/artfynd/A 4794-2019 artfynd.xlsx", "A 4794-2019")</f>
        <v/>
      </c>
      <c r="T4">
        <f>HYPERLINK("https://klasma.github.io/Logging_0191/kartor/A 4794-2019 karta.png", "A 4794-2019")</f>
        <v/>
      </c>
      <c r="V4">
        <f>HYPERLINK("https://klasma.github.io/Logging_0191/klagomål/A 4794-2019 FSC-klagomål.docx", "A 4794-2019")</f>
        <v/>
      </c>
      <c r="W4">
        <f>HYPERLINK("https://klasma.github.io/Logging_0191/klagomålsmail/A 4794-2019 FSC-klagomål mail.docx", "A 4794-2019")</f>
        <v/>
      </c>
      <c r="X4">
        <f>HYPERLINK("https://klasma.github.io/Logging_0191/tillsyn/A 4794-2019 tillsynsbegäran.docx", "A 4794-2019")</f>
        <v/>
      </c>
      <c r="Y4">
        <f>HYPERLINK("https://klasma.github.io/Logging_0191/tillsynsmail/A 4794-2019 tillsynsbegäran mail.docx", "A 4794-2019")</f>
        <v/>
      </c>
    </row>
    <row r="5" ht="15" customHeight="1">
      <c r="A5" t="inlineStr">
        <is>
          <t>A 10000-2022</t>
        </is>
      </c>
      <c r="B5" s="1" t="n">
        <v>44621</v>
      </c>
      <c r="C5" s="1" t="n">
        <v>45294</v>
      </c>
      <c r="D5" t="inlineStr">
        <is>
          <t>STOCKHOLMS LÄN</t>
        </is>
      </c>
      <c r="E5" t="inlineStr">
        <is>
          <t>SIGTUNA</t>
        </is>
      </c>
      <c r="G5" t="n">
        <v>15.3</v>
      </c>
      <c r="H5" t="n">
        <v>5</v>
      </c>
      <c r="I5" t="n">
        <v>0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5</v>
      </c>
      <c r="R5" s="2" t="inlineStr">
        <is>
          <t>Tornseglare
Hussvala
Fiskmås
Gulsparv
Ärtsångare</t>
        </is>
      </c>
      <c r="S5">
        <f>HYPERLINK("https://klasma.github.io/Logging_0191/artfynd/A 10000-2022 artfynd.xlsx", "A 10000-2022")</f>
        <v/>
      </c>
      <c r="T5">
        <f>HYPERLINK("https://klasma.github.io/Logging_0191/kartor/A 10000-2022 karta.png", "A 10000-2022")</f>
        <v/>
      </c>
      <c r="V5">
        <f>HYPERLINK("https://klasma.github.io/Logging_0191/klagomål/A 10000-2022 FSC-klagomål.docx", "A 10000-2022")</f>
        <v/>
      </c>
      <c r="W5">
        <f>HYPERLINK("https://klasma.github.io/Logging_0191/klagomålsmail/A 10000-2022 FSC-klagomål mail.docx", "A 10000-2022")</f>
        <v/>
      </c>
      <c r="X5">
        <f>HYPERLINK("https://klasma.github.io/Logging_0191/tillsyn/A 10000-2022 tillsynsbegäran.docx", "A 10000-2022")</f>
        <v/>
      </c>
      <c r="Y5">
        <f>HYPERLINK("https://klasma.github.io/Logging_0191/tillsynsmail/A 10000-2022 tillsynsbegäran mail.docx", "A 10000-2022")</f>
        <v/>
      </c>
    </row>
    <row r="6" ht="15" customHeight="1">
      <c r="A6" t="inlineStr">
        <is>
          <t>A 55163-2018</t>
        </is>
      </c>
      <c r="B6" s="1" t="n">
        <v>43396</v>
      </c>
      <c r="C6" s="1" t="n">
        <v>45294</v>
      </c>
      <c r="D6" t="inlineStr">
        <is>
          <t>STOCKHOLMS LÄN</t>
        </is>
      </c>
      <c r="E6" t="inlineStr">
        <is>
          <t>SIGTUNA</t>
        </is>
      </c>
      <c r="F6" t="inlineStr">
        <is>
          <t>Allmännings- och besparingsskogar</t>
        </is>
      </c>
      <c r="G6" t="n">
        <v>2.6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Granbarkgnagare
Grönpyrola
Lopplummer</t>
        </is>
      </c>
      <c r="S6">
        <f>HYPERLINK("https://klasma.github.io/Logging_0191/artfynd/A 55163-2018 artfynd.xlsx", "A 55163-2018")</f>
        <v/>
      </c>
      <c r="T6">
        <f>HYPERLINK("https://klasma.github.io/Logging_0191/kartor/A 55163-2018 karta.png", "A 55163-2018")</f>
        <v/>
      </c>
      <c r="V6">
        <f>HYPERLINK("https://klasma.github.io/Logging_0191/klagomål/A 55163-2018 FSC-klagomål.docx", "A 55163-2018")</f>
        <v/>
      </c>
      <c r="W6">
        <f>HYPERLINK("https://klasma.github.io/Logging_0191/klagomålsmail/A 55163-2018 FSC-klagomål mail.docx", "A 55163-2018")</f>
        <v/>
      </c>
      <c r="X6">
        <f>HYPERLINK("https://klasma.github.io/Logging_0191/tillsyn/A 55163-2018 tillsynsbegäran.docx", "A 55163-2018")</f>
        <v/>
      </c>
      <c r="Y6">
        <f>HYPERLINK("https://klasma.github.io/Logging_0191/tillsynsmail/A 55163-2018 tillsynsbegäran mail.docx", "A 55163-2018")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45294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57943-2022</t>
        </is>
      </c>
      <c r="B8" s="1" t="n">
        <v>44900</v>
      </c>
      <c r="C8" s="1" t="n">
        <v>45294</v>
      </c>
      <c r="D8" t="inlineStr">
        <is>
          <t>STOCKHOLMS LÄN</t>
        </is>
      </c>
      <c r="E8" t="inlineStr">
        <is>
          <t>SIGTUNA</t>
        </is>
      </c>
      <c r="G8" t="n">
        <v>15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Thomsons trägnagare
Vanlig flatbagge
Skogsödla
Gullviva</t>
        </is>
      </c>
      <c r="S8">
        <f>HYPERLINK("https://klasma.github.io/Logging_0191/artfynd/A 57943-2022 artfynd.xlsx", "A 57943-2022")</f>
        <v/>
      </c>
      <c r="T8">
        <f>HYPERLINK("https://klasma.github.io/Logging_0191/kartor/A 57943-2022 karta.png", "A 57943-2022")</f>
        <v/>
      </c>
      <c r="V8">
        <f>HYPERLINK("https://klasma.github.io/Logging_0191/klagomål/A 57943-2022 FSC-klagomål.docx", "A 57943-2022")</f>
        <v/>
      </c>
      <c r="W8">
        <f>HYPERLINK("https://klasma.github.io/Logging_0191/klagomålsmail/A 57943-2022 FSC-klagomål mail.docx", "A 57943-2022")</f>
        <v/>
      </c>
      <c r="X8">
        <f>HYPERLINK("https://klasma.github.io/Logging_0191/tillsyn/A 57943-2022 tillsynsbegäran.docx", "A 57943-2022")</f>
        <v/>
      </c>
      <c r="Y8">
        <f>HYPERLINK("https://klasma.github.io/Logging_0191/tillsynsmail/A 57943-2022 tillsynsbegäran mail.docx", "A 57943-2022")</f>
        <v/>
      </c>
    </row>
    <row r="9" ht="15" customHeight="1">
      <c r="A9" t="inlineStr">
        <is>
          <t>A 64166-2018</t>
        </is>
      </c>
      <c r="B9" s="1" t="n">
        <v>43430</v>
      </c>
      <c r="C9" s="1" t="n">
        <v>45294</v>
      </c>
      <c r="D9" t="inlineStr">
        <is>
          <t>STOCKHOLMS LÄN</t>
        </is>
      </c>
      <c r="E9" t="inlineStr">
        <is>
          <t>SIGTUNA</t>
        </is>
      </c>
      <c r="G9" t="n">
        <v>4.9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Duvhök
Spillkråka
Större vattensalamander</t>
        </is>
      </c>
      <c r="S9">
        <f>HYPERLINK("https://klasma.github.io/Logging_0191/artfynd/A 64166-2018 artfynd.xlsx", "A 64166-2018")</f>
        <v/>
      </c>
      <c r="T9">
        <f>HYPERLINK("https://klasma.github.io/Logging_0191/kartor/A 64166-2018 karta.png", "A 64166-2018")</f>
        <v/>
      </c>
      <c r="V9">
        <f>HYPERLINK("https://klasma.github.io/Logging_0191/klagomål/A 64166-2018 FSC-klagomål.docx", "A 64166-2018")</f>
        <v/>
      </c>
      <c r="W9">
        <f>HYPERLINK("https://klasma.github.io/Logging_0191/klagomålsmail/A 64166-2018 FSC-klagomål mail.docx", "A 64166-2018")</f>
        <v/>
      </c>
      <c r="X9">
        <f>HYPERLINK("https://klasma.github.io/Logging_0191/tillsyn/A 64166-2018 tillsynsbegäran.docx", "A 64166-2018")</f>
        <v/>
      </c>
      <c r="Y9">
        <f>HYPERLINK("https://klasma.github.io/Logging_0191/tillsynsmail/A 64166-2018 tillsynsbegäran mail.docx", "A 64166-2018")</f>
        <v/>
      </c>
    </row>
    <row r="10" ht="15" customHeight="1">
      <c r="A10" t="inlineStr">
        <is>
          <t>A 24386-2020</t>
        </is>
      </c>
      <c r="B10" s="1" t="n">
        <v>43973</v>
      </c>
      <c r="C10" s="1" t="n">
        <v>45294</v>
      </c>
      <c r="D10" t="inlineStr">
        <is>
          <t>STOCKHOLMS LÄN</t>
        </is>
      </c>
      <c r="E10" t="inlineStr">
        <is>
          <t>SIGTUNA</t>
        </is>
      </c>
      <c r="G10" t="n">
        <v>4.5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Granticka
Ullticka
Blåsippa</t>
        </is>
      </c>
      <c r="S10">
        <f>HYPERLINK("https://klasma.github.io/Logging_0191/artfynd/A 24386-2020 artfynd.xlsx", "A 24386-2020")</f>
        <v/>
      </c>
      <c r="T10">
        <f>HYPERLINK("https://klasma.github.io/Logging_0191/kartor/A 24386-2020 karta.png", "A 24386-2020")</f>
        <v/>
      </c>
      <c r="V10">
        <f>HYPERLINK("https://klasma.github.io/Logging_0191/klagomål/A 24386-2020 FSC-klagomål.docx", "A 24386-2020")</f>
        <v/>
      </c>
      <c r="W10">
        <f>HYPERLINK("https://klasma.github.io/Logging_0191/klagomålsmail/A 24386-2020 FSC-klagomål mail.docx", "A 24386-2020")</f>
        <v/>
      </c>
      <c r="X10">
        <f>HYPERLINK("https://klasma.github.io/Logging_0191/tillsyn/A 24386-2020 tillsynsbegäran.docx", "A 24386-2020")</f>
        <v/>
      </c>
      <c r="Y10">
        <f>HYPERLINK("https://klasma.github.io/Logging_0191/tillsynsmail/A 24386-2020 tillsynsbegäran mail.docx", "A 24386-2020")</f>
        <v/>
      </c>
    </row>
    <row r="11" ht="15" customHeight="1">
      <c r="A11" t="inlineStr">
        <is>
          <t>A 38554-2023</t>
        </is>
      </c>
      <c r="B11" s="1" t="n">
        <v>45162</v>
      </c>
      <c r="C11" s="1" t="n">
        <v>45294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3.1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Bronshjon
Fjällig taggsvamp s.str.
Vågbandad barkbock</t>
        </is>
      </c>
      <c r="S11">
        <f>HYPERLINK("https://klasma.github.io/Logging_0191/artfynd/A 38554-2023 artfynd.xlsx", "A 38554-2023")</f>
        <v/>
      </c>
      <c r="T11">
        <f>HYPERLINK("https://klasma.github.io/Logging_0191/kartor/A 38554-2023 karta.png", "A 38554-2023")</f>
        <v/>
      </c>
      <c r="V11">
        <f>HYPERLINK("https://klasma.github.io/Logging_0191/klagomål/A 38554-2023 FSC-klagomål.docx", "A 38554-2023")</f>
        <v/>
      </c>
      <c r="W11">
        <f>HYPERLINK("https://klasma.github.io/Logging_0191/klagomålsmail/A 38554-2023 FSC-klagomål mail.docx", "A 38554-2023")</f>
        <v/>
      </c>
      <c r="X11">
        <f>HYPERLINK("https://klasma.github.io/Logging_0191/tillsyn/A 38554-2023 tillsynsbegäran.docx", "A 38554-2023")</f>
        <v/>
      </c>
      <c r="Y11">
        <f>HYPERLINK("https://klasma.github.io/Logging_0191/tillsynsmail/A 38554-2023 tillsynsbegäran mail.docx", "A 38554-2023")</f>
        <v/>
      </c>
    </row>
    <row r="12" ht="15" customHeight="1">
      <c r="A12" t="inlineStr">
        <is>
          <t>A 12586-2019</t>
        </is>
      </c>
      <c r="B12" s="1" t="n">
        <v>43524</v>
      </c>
      <c r="C12" s="1" t="n">
        <v>45294</v>
      </c>
      <c r="D12" t="inlineStr">
        <is>
          <t>STOCKHOLMS LÄN</t>
        </is>
      </c>
      <c r="E12" t="inlineStr">
        <is>
          <t>SIGTUNA</t>
        </is>
      </c>
      <c r="G12" t="n">
        <v>4.9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Fjällvråk
Mindre vattensalamander</t>
        </is>
      </c>
      <c r="S12">
        <f>HYPERLINK("https://klasma.github.io/Logging_0191/artfynd/A 12586-2019 artfynd.xlsx", "A 12586-2019")</f>
        <v/>
      </c>
      <c r="T12">
        <f>HYPERLINK("https://klasma.github.io/Logging_0191/kartor/A 12586-2019 karta.png", "A 12586-2019")</f>
        <v/>
      </c>
      <c r="V12">
        <f>HYPERLINK("https://klasma.github.io/Logging_0191/klagomål/A 12586-2019 FSC-klagomål.docx", "A 12586-2019")</f>
        <v/>
      </c>
      <c r="W12">
        <f>HYPERLINK("https://klasma.github.io/Logging_0191/klagomålsmail/A 12586-2019 FSC-klagomål mail.docx", "A 12586-2019")</f>
        <v/>
      </c>
      <c r="X12">
        <f>HYPERLINK("https://klasma.github.io/Logging_0191/tillsyn/A 12586-2019 tillsynsbegäran.docx", "A 12586-2019")</f>
        <v/>
      </c>
      <c r="Y12">
        <f>HYPERLINK("https://klasma.github.io/Logging_0191/tillsynsmail/A 12586-2019 tillsynsbegäran mail.docx", "A 12586-2019")</f>
        <v/>
      </c>
    </row>
    <row r="13" ht="15" customHeight="1">
      <c r="A13" t="inlineStr">
        <is>
          <t>A 20030-2020</t>
        </is>
      </c>
      <c r="B13" s="1" t="n">
        <v>43942</v>
      </c>
      <c r="C13" s="1" t="n">
        <v>45294</v>
      </c>
      <c r="D13" t="inlineStr">
        <is>
          <t>STOCKHOLMS LÄN</t>
        </is>
      </c>
      <c r="E13" t="inlineStr">
        <is>
          <t>SIGTUNA</t>
        </is>
      </c>
      <c r="G13" t="n">
        <v>11.5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Vågbandad barkbock
Blåsippa</t>
        </is>
      </c>
      <c r="S13">
        <f>HYPERLINK("https://klasma.github.io/Logging_0191/artfynd/A 20030-2020 artfynd.xlsx", "A 20030-2020")</f>
        <v/>
      </c>
      <c r="T13">
        <f>HYPERLINK("https://klasma.github.io/Logging_0191/kartor/A 20030-2020 karta.png", "A 20030-2020")</f>
        <v/>
      </c>
      <c r="V13">
        <f>HYPERLINK("https://klasma.github.io/Logging_0191/klagomål/A 20030-2020 FSC-klagomål.docx", "A 20030-2020")</f>
        <v/>
      </c>
      <c r="W13">
        <f>HYPERLINK("https://klasma.github.io/Logging_0191/klagomålsmail/A 20030-2020 FSC-klagomål mail.docx", "A 20030-2020")</f>
        <v/>
      </c>
      <c r="X13">
        <f>HYPERLINK("https://klasma.github.io/Logging_0191/tillsyn/A 20030-2020 tillsynsbegäran.docx", "A 20030-2020")</f>
        <v/>
      </c>
      <c r="Y13">
        <f>HYPERLINK("https://klasma.github.io/Logging_0191/tillsynsmail/A 20030-2020 tillsynsbegäran mail.docx", "A 20030-2020")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45294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</row>
    <row r="15" ht="15" customHeight="1">
      <c r="A15" t="inlineStr">
        <is>
          <t>A 34068-2022</t>
        </is>
      </c>
      <c r="B15" s="1" t="n">
        <v>44791</v>
      </c>
      <c r="C15" s="1" t="n">
        <v>45294</v>
      </c>
      <c r="D15" t="inlineStr">
        <is>
          <t>STOCKHOLMS LÄN</t>
        </is>
      </c>
      <c r="E15" t="inlineStr">
        <is>
          <t>SIGTUNA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Gullviva</t>
        </is>
      </c>
      <c r="S15">
        <f>HYPERLINK("https://klasma.github.io/Logging_0191/artfynd/A 34068-2022 artfynd.xlsx", "A 34068-2022")</f>
        <v/>
      </c>
      <c r="T15">
        <f>HYPERLINK("https://klasma.github.io/Logging_0191/kartor/A 34068-2022 karta.png", "A 34068-2022")</f>
        <v/>
      </c>
      <c r="V15">
        <f>HYPERLINK("https://klasma.github.io/Logging_0191/klagomål/A 34068-2022 FSC-klagomål.docx", "A 34068-2022")</f>
        <v/>
      </c>
      <c r="W15">
        <f>HYPERLINK("https://klasma.github.io/Logging_0191/klagomålsmail/A 34068-2022 FSC-klagomål mail.docx", "A 34068-2022")</f>
        <v/>
      </c>
      <c r="X15">
        <f>HYPERLINK("https://klasma.github.io/Logging_0191/tillsyn/A 34068-2022 tillsynsbegäran.docx", "A 34068-2022")</f>
        <v/>
      </c>
      <c r="Y15">
        <f>HYPERLINK("https://klasma.github.io/Logging_0191/tillsynsmail/A 34068-2022 tillsynsbegäran mail.docx", "A 34068-2022")</f>
        <v/>
      </c>
    </row>
    <row r="16" ht="15" customHeight="1">
      <c r="A16" t="inlineStr">
        <is>
          <t>A 16461-2021</t>
        </is>
      </c>
      <c r="B16" s="1" t="n">
        <v>44293</v>
      </c>
      <c r="C16" s="1" t="n">
        <v>45294</v>
      </c>
      <c r="D16" t="inlineStr">
        <is>
          <t>STOCKHOLMS LÄN</t>
        </is>
      </c>
      <c r="E16" t="inlineStr">
        <is>
          <t>SIGTUNA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HYPERLINK("https://klasma.github.io/Logging_0191/artfynd/A 16461-2021 artfynd.xlsx", "A 16461-2021")</f>
        <v/>
      </c>
      <c r="T16">
        <f>HYPERLINK("https://klasma.github.io/Logging_0191/kartor/A 16461-2021 karta.png", "A 16461-2021")</f>
        <v/>
      </c>
      <c r="V16">
        <f>HYPERLINK("https://klasma.github.io/Logging_0191/klagomål/A 16461-2021 FSC-klagomål.docx", "A 16461-2021")</f>
        <v/>
      </c>
      <c r="W16">
        <f>HYPERLINK("https://klasma.github.io/Logging_0191/klagomålsmail/A 16461-2021 FSC-klagomål mail.docx", "A 16461-2021")</f>
        <v/>
      </c>
      <c r="X16">
        <f>HYPERLINK("https://klasma.github.io/Logging_0191/tillsyn/A 16461-2021 tillsynsbegäran.docx", "A 16461-2021")</f>
        <v/>
      </c>
      <c r="Y16">
        <f>HYPERLINK("https://klasma.github.io/Logging_0191/tillsynsmail/A 16461-2021 tillsynsbegäran mail.docx", "A 16461-2021")</f>
        <v/>
      </c>
    </row>
    <row r="17" ht="15" customHeight="1">
      <c r="A17" t="inlineStr">
        <is>
          <t>A 51189-2022</t>
        </is>
      </c>
      <c r="B17" s="1" t="n">
        <v>44865</v>
      </c>
      <c r="C17" s="1" t="n">
        <v>45294</v>
      </c>
      <c r="D17" t="inlineStr">
        <is>
          <t>STOCKHOLMS LÄN</t>
        </is>
      </c>
      <c r="E17" t="inlineStr">
        <is>
          <t>SIGTUNA</t>
        </is>
      </c>
      <c r="G17" t="n">
        <v>32.8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Vedskivlav</t>
        </is>
      </c>
      <c r="S17">
        <f>HYPERLINK("https://klasma.github.io/Logging_0191/artfynd/A 51189-2022 artfynd.xlsx", "A 51189-2022")</f>
        <v/>
      </c>
      <c r="T17">
        <f>HYPERLINK("https://klasma.github.io/Logging_0191/kartor/A 51189-2022 karta.png", "A 51189-2022")</f>
        <v/>
      </c>
      <c r="V17">
        <f>HYPERLINK("https://klasma.github.io/Logging_0191/klagomål/A 51189-2022 FSC-klagomål.docx", "A 51189-2022")</f>
        <v/>
      </c>
      <c r="W17">
        <f>HYPERLINK("https://klasma.github.io/Logging_0191/klagomålsmail/A 51189-2022 FSC-klagomål mail.docx", "A 51189-2022")</f>
        <v/>
      </c>
      <c r="X17">
        <f>HYPERLINK("https://klasma.github.io/Logging_0191/tillsyn/A 51189-2022 tillsynsbegäran.docx", "A 51189-2022")</f>
        <v/>
      </c>
      <c r="Y17">
        <f>HYPERLINK("https://klasma.github.io/Logging_0191/tillsynsmail/A 51189-2022 tillsynsbegäran mail.docx", "A 51189-2022")</f>
        <v/>
      </c>
    </row>
    <row r="18" ht="15" customHeight="1">
      <c r="A18" t="inlineStr">
        <is>
          <t>A 8149-2023</t>
        </is>
      </c>
      <c r="B18" s="1" t="n">
        <v>44974</v>
      </c>
      <c r="C18" s="1" t="n">
        <v>45294</v>
      </c>
      <c r="D18" t="inlineStr">
        <is>
          <t>STOCKHOLMS LÄN</t>
        </is>
      </c>
      <c r="E18" t="inlineStr">
        <is>
          <t>SIGTUNA</t>
        </is>
      </c>
      <c r="G18" t="n">
        <v>11.5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Trubbdaggkåpa</t>
        </is>
      </c>
      <c r="S18">
        <f>HYPERLINK("https://klasma.github.io/Logging_0191/artfynd/A 8149-2023 artfynd.xlsx", "A 8149-2023")</f>
        <v/>
      </c>
      <c r="T18">
        <f>HYPERLINK("https://klasma.github.io/Logging_0191/kartor/A 8149-2023 karta.png", "A 8149-2023")</f>
        <v/>
      </c>
      <c r="V18">
        <f>HYPERLINK("https://klasma.github.io/Logging_0191/klagomål/A 8149-2023 FSC-klagomål.docx", "A 8149-2023")</f>
        <v/>
      </c>
      <c r="W18">
        <f>HYPERLINK("https://klasma.github.io/Logging_0191/klagomålsmail/A 8149-2023 FSC-klagomål mail.docx", "A 8149-2023")</f>
        <v/>
      </c>
      <c r="X18">
        <f>HYPERLINK("https://klasma.github.io/Logging_0191/tillsyn/A 8149-2023 tillsynsbegäran.docx", "A 8149-2023")</f>
        <v/>
      </c>
      <c r="Y18">
        <f>HYPERLINK("https://klasma.github.io/Logging_0191/tillsynsmail/A 8149-2023 tillsynsbegäran mail.docx", "A 8149-2023")</f>
        <v/>
      </c>
    </row>
    <row r="19" ht="15" customHeight="1">
      <c r="A19" t="inlineStr">
        <is>
          <t>A 27425-2023</t>
        </is>
      </c>
      <c r="B19" s="1" t="n">
        <v>45097</v>
      </c>
      <c r="C19" s="1" t="n">
        <v>45294</v>
      </c>
      <c r="D19" t="inlineStr">
        <is>
          <t>STOCKHOLMS LÄN</t>
        </is>
      </c>
      <c r="E19" t="inlineStr">
        <is>
          <t>SIGTUNA</t>
        </is>
      </c>
      <c r="F19" t="inlineStr">
        <is>
          <t>Allmännings- och besparingsskogar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HYPERLINK("https://klasma.github.io/Logging_0191/artfynd/A 27425-2023 artfynd.xlsx", "A 27425-2023")</f>
        <v/>
      </c>
      <c r="T19">
        <f>HYPERLINK("https://klasma.github.io/Logging_0191/kartor/A 27425-2023 karta.png", "A 27425-2023")</f>
        <v/>
      </c>
      <c r="V19">
        <f>HYPERLINK("https://klasma.github.io/Logging_0191/klagomål/A 27425-2023 FSC-klagomål.docx", "A 27425-2023")</f>
        <v/>
      </c>
      <c r="W19">
        <f>HYPERLINK("https://klasma.github.io/Logging_0191/klagomålsmail/A 27425-2023 FSC-klagomål mail.docx", "A 27425-2023")</f>
        <v/>
      </c>
      <c r="X19">
        <f>HYPERLINK("https://klasma.github.io/Logging_0191/tillsyn/A 27425-2023 tillsynsbegäran.docx", "A 27425-2023")</f>
        <v/>
      </c>
      <c r="Y19">
        <f>HYPERLINK("https://klasma.github.io/Logging_0191/tillsynsmail/A 27425-2023 tillsynsbegäran mail.docx", "A 27425-2023")</f>
        <v/>
      </c>
    </row>
    <row r="20" ht="15" customHeight="1">
      <c r="A20" t="inlineStr">
        <is>
          <t>A 39613-2023</t>
        </is>
      </c>
      <c r="B20" s="1" t="n">
        <v>45163</v>
      </c>
      <c r="C20" s="1" t="n">
        <v>45294</v>
      </c>
      <c r="D20" t="inlineStr">
        <is>
          <t>STOCKHOLMS LÄN</t>
        </is>
      </c>
      <c r="E20" t="inlineStr">
        <is>
          <t>SIGTUNA</t>
        </is>
      </c>
      <c r="G20" t="n">
        <v>15.2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HYPERLINK("https://klasma.github.io/Logging_0191/artfynd/A 39613-2023 artfynd.xlsx", "A 39613-2023")</f>
        <v/>
      </c>
      <c r="T20">
        <f>HYPERLINK("https://klasma.github.io/Logging_0191/kartor/A 39613-2023 karta.png", "A 39613-2023")</f>
        <v/>
      </c>
      <c r="V20">
        <f>HYPERLINK("https://klasma.github.io/Logging_0191/klagomål/A 39613-2023 FSC-klagomål.docx", "A 39613-2023")</f>
        <v/>
      </c>
      <c r="W20">
        <f>HYPERLINK("https://klasma.github.io/Logging_0191/klagomålsmail/A 39613-2023 FSC-klagomål mail.docx", "A 39613-2023")</f>
        <v/>
      </c>
      <c r="X20">
        <f>HYPERLINK("https://klasma.github.io/Logging_0191/tillsyn/A 39613-2023 tillsynsbegäran.docx", "A 39613-2023")</f>
        <v/>
      </c>
      <c r="Y20">
        <f>HYPERLINK("https://klasma.github.io/Logging_0191/tillsynsmail/A 39613-2023 tillsynsbegäran mail.docx", "A 39613-2023")</f>
        <v/>
      </c>
    </row>
    <row r="21" ht="15" customHeight="1">
      <c r="A21" t="inlineStr">
        <is>
          <t>A 39716-2023</t>
        </is>
      </c>
      <c r="B21" s="1" t="n">
        <v>45166</v>
      </c>
      <c r="C21" s="1" t="n">
        <v>45294</v>
      </c>
      <c r="D21" t="inlineStr">
        <is>
          <t>STOCKHOLMS LÄN</t>
        </is>
      </c>
      <c r="E21" t="inlineStr">
        <is>
          <t>SIGTUNA</t>
        </is>
      </c>
      <c r="G21" t="n">
        <v>3.5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Hornuggla</t>
        </is>
      </c>
      <c r="S21">
        <f>HYPERLINK("https://klasma.github.io/Logging_0191/artfynd/A 39716-2023 artfynd.xlsx", "A 39716-2023")</f>
        <v/>
      </c>
      <c r="T21">
        <f>HYPERLINK("https://klasma.github.io/Logging_0191/kartor/A 39716-2023 karta.png", "A 39716-2023")</f>
        <v/>
      </c>
      <c r="V21">
        <f>HYPERLINK("https://klasma.github.io/Logging_0191/klagomål/A 39716-2023 FSC-klagomål.docx", "A 39716-2023")</f>
        <v/>
      </c>
      <c r="W21">
        <f>HYPERLINK("https://klasma.github.io/Logging_0191/klagomålsmail/A 39716-2023 FSC-klagomål mail.docx", "A 39716-2023")</f>
        <v/>
      </c>
      <c r="X21">
        <f>HYPERLINK("https://klasma.github.io/Logging_0191/tillsyn/A 39716-2023 tillsynsbegäran.docx", "A 39716-2023")</f>
        <v/>
      </c>
      <c r="Y21">
        <f>HYPERLINK("https://klasma.github.io/Logging_0191/tillsynsmail/A 39716-2023 tillsynsbegäran mail.docx", "A 39716-2023")</f>
        <v/>
      </c>
    </row>
    <row r="22" ht="15" customHeight="1">
      <c r="A22" t="inlineStr">
        <is>
          <t>A 58509-2018</t>
        </is>
      </c>
      <c r="B22" s="1" t="n">
        <v>43409</v>
      </c>
      <c r="C22" s="1" t="n">
        <v>45294</v>
      </c>
      <c r="D22" t="inlineStr">
        <is>
          <t>STOCKHOLMS LÄN</t>
        </is>
      </c>
      <c r="E22" t="inlineStr">
        <is>
          <t>SIGTUNA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58638-2018</t>
        </is>
      </c>
      <c r="B23" s="1" t="n">
        <v>43410</v>
      </c>
      <c r="C23" s="1" t="n">
        <v>45294</v>
      </c>
      <c r="D23" t="inlineStr">
        <is>
          <t>STOCKHOLMS LÄN</t>
        </is>
      </c>
      <c r="E23" t="inlineStr">
        <is>
          <t>SIGTUNA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69903-2018</t>
        </is>
      </c>
      <c r="B24" s="1" t="n">
        <v>43447</v>
      </c>
      <c r="C24" s="1" t="n">
        <v>45294</v>
      </c>
      <c r="D24" t="inlineStr">
        <is>
          <t>STOCKHOLMS LÄN</t>
        </is>
      </c>
      <c r="E24" t="inlineStr">
        <is>
          <t>SIGTUNA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3054-2019</t>
        </is>
      </c>
      <c r="B25" s="1" t="n">
        <v>43479</v>
      </c>
      <c r="C25" s="1" t="n">
        <v>45294</v>
      </c>
      <c r="D25" t="inlineStr">
        <is>
          <t>STOCKHOLMS LÄN</t>
        </is>
      </c>
      <c r="E25" t="inlineStr">
        <is>
          <t>SIGTUNA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4800-2019</t>
        </is>
      </c>
      <c r="B26" s="1" t="n">
        <v>43486</v>
      </c>
      <c r="C26" s="1" t="n">
        <v>45294</v>
      </c>
      <c r="D26" t="inlineStr">
        <is>
          <t>STOCKHOLMS LÄN</t>
        </is>
      </c>
      <c r="E26" t="inlineStr">
        <is>
          <t>SIGTUNA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4584-2019</t>
        </is>
      </c>
      <c r="B27" s="1" t="n">
        <v>43486</v>
      </c>
      <c r="C27" s="1" t="n">
        <v>45294</v>
      </c>
      <c r="D27" t="inlineStr">
        <is>
          <t>STOCKHOLMS LÄN</t>
        </is>
      </c>
      <c r="E27" t="inlineStr">
        <is>
          <t>SIGTUNA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8501-2019</t>
        </is>
      </c>
      <c r="B28" s="1" t="n">
        <v>43500</v>
      </c>
      <c r="C28" s="1" t="n">
        <v>45294</v>
      </c>
      <c r="D28" t="inlineStr">
        <is>
          <t>STOCKHOLMS LÄN</t>
        </is>
      </c>
      <c r="E28" t="inlineStr">
        <is>
          <t>SIGTUNA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8469-2019</t>
        </is>
      </c>
      <c r="B29" s="1" t="n">
        <v>43502</v>
      </c>
      <c r="C29" s="1" t="n">
        <v>45294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12590-2019</t>
        </is>
      </c>
      <c r="B30" s="1" t="n">
        <v>43524</v>
      </c>
      <c r="C30" s="1" t="n">
        <v>45294</v>
      </c>
      <c r="D30" t="inlineStr">
        <is>
          <t>STOCKHOLMS LÄN</t>
        </is>
      </c>
      <c r="E30" t="inlineStr">
        <is>
          <t>SIGTUNA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13143-2019</t>
        </is>
      </c>
      <c r="B31" s="1" t="n">
        <v>43527</v>
      </c>
      <c r="C31" s="1" t="n">
        <v>45294</v>
      </c>
      <c r="D31" t="inlineStr">
        <is>
          <t>STOCKHOLMS LÄN</t>
        </is>
      </c>
      <c r="E31" t="inlineStr">
        <is>
          <t>SIGTUNA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14823-2019</t>
        </is>
      </c>
      <c r="B32" s="1" t="n">
        <v>43539</v>
      </c>
      <c r="C32" s="1" t="n">
        <v>45294</v>
      </c>
      <c r="D32" t="inlineStr">
        <is>
          <t>STOCKHOLMS LÄN</t>
        </is>
      </c>
      <c r="E32" t="inlineStr">
        <is>
          <t>SIGTUNA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19563-2019</t>
        </is>
      </c>
      <c r="B33" s="1" t="n">
        <v>43566</v>
      </c>
      <c r="C33" s="1" t="n">
        <v>45294</v>
      </c>
      <c r="D33" t="inlineStr">
        <is>
          <t>STOCKHOLMS LÄN</t>
        </is>
      </c>
      <c r="E33" t="inlineStr">
        <is>
          <t>SIGTUNA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28330-2019</t>
        </is>
      </c>
      <c r="B34" s="1" t="n">
        <v>43623</v>
      </c>
      <c r="C34" s="1" t="n">
        <v>45294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28560-2019</t>
        </is>
      </c>
      <c r="B35" s="1" t="n">
        <v>43626</v>
      </c>
      <c r="C35" s="1" t="n">
        <v>45294</v>
      </c>
      <c r="D35" t="inlineStr">
        <is>
          <t>STOCKHOLMS LÄN</t>
        </is>
      </c>
      <c r="E35" t="inlineStr">
        <is>
          <t>SIGTUNA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28384-2019</t>
        </is>
      </c>
      <c r="B36" s="1" t="n">
        <v>43626</v>
      </c>
      <c r="C36" s="1" t="n">
        <v>45294</v>
      </c>
      <c r="D36" t="inlineStr">
        <is>
          <t>STOCKHOLMS LÄN</t>
        </is>
      </c>
      <c r="E36" t="inlineStr">
        <is>
          <t>SIGTUNA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32813-2019</t>
        </is>
      </c>
      <c r="B37" s="1" t="n">
        <v>43648</v>
      </c>
      <c r="C37" s="1" t="n">
        <v>45294</v>
      </c>
      <c r="D37" t="inlineStr">
        <is>
          <t>STOCKHOLMS LÄN</t>
        </is>
      </c>
      <c r="E37" t="inlineStr">
        <is>
          <t>SIGTUNA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42497-2019</t>
        </is>
      </c>
      <c r="B38" s="1" t="n">
        <v>43699</v>
      </c>
      <c r="C38" s="1" t="n">
        <v>45294</v>
      </c>
      <c r="D38" t="inlineStr">
        <is>
          <t>STOCKHOLMS LÄN</t>
        </is>
      </c>
      <c r="E38" t="inlineStr">
        <is>
          <t>SIGTUNA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49268-2019</t>
        </is>
      </c>
      <c r="B39" s="1" t="n">
        <v>43731</v>
      </c>
      <c r="C39" s="1" t="n">
        <v>45294</v>
      </c>
      <c r="D39" t="inlineStr">
        <is>
          <t>STOCKHOLMS LÄN</t>
        </is>
      </c>
      <c r="E39" t="inlineStr">
        <is>
          <t>SIGTUNA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50737-2019</t>
        </is>
      </c>
      <c r="B40" s="1" t="n">
        <v>43738</v>
      </c>
      <c r="C40" s="1" t="n">
        <v>45294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50755-2019</t>
        </is>
      </c>
      <c r="B41" s="1" t="n">
        <v>43738</v>
      </c>
      <c r="C41" s="1" t="n">
        <v>45294</v>
      </c>
      <c r="D41" t="inlineStr">
        <is>
          <t>STOCKHOLMS LÄN</t>
        </is>
      </c>
      <c r="E41" t="inlineStr">
        <is>
          <t>SIGTUNA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54875-2019</t>
        </is>
      </c>
      <c r="B42" s="1" t="n">
        <v>43755</v>
      </c>
      <c r="C42" s="1" t="n">
        <v>45294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57461-2019</t>
        </is>
      </c>
      <c r="B43" s="1" t="n">
        <v>43767</v>
      </c>
      <c r="C43" s="1" t="n">
        <v>45294</v>
      </c>
      <c r="D43" t="inlineStr">
        <is>
          <t>STOCKHOLMS LÄN</t>
        </is>
      </c>
      <c r="E43" t="inlineStr">
        <is>
          <t>SIGTUNA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64901-2019</t>
        </is>
      </c>
      <c r="B44" s="1" t="n">
        <v>43801</v>
      </c>
      <c r="C44" s="1" t="n">
        <v>45294</v>
      </c>
      <c r="D44" t="inlineStr">
        <is>
          <t>STOCKHOLMS LÄN</t>
        </is>
      </c>
      <c r="E44" t="inlineStr">
        <is>
          <t>SIGTUNA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64898-2019</t>
        </is>
      </c>
      <c r="B45" s="1" t="n">
        <v>43801</v>
      </c>
      <c r="C45" s="1" t="n">
        <v>45294</v>
      </c>
      <c r="D45" t="inlineStr">
        <is>
          <t>STOCKHOLMS LÄN</t>
        </is>
      </c>
      <c r="E45" t="inlineStr">
        <is>
          <t>SIGTUNA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68825-2019</t>
        </is>
      </c>
      <c r="B46" s="1" t="n">
        <v>43819</v>
      </c>
      <c r="C46" s="1" t="n">
        <v>45294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68826-2019</t>
        </is>
      </c>
      <c r="B47" s="1" t="n">
        <v>43819</v>
      </c>
      <c r="C47" s="1" t="n">
        <v>45294</v>
      </c>
      <c r="D47" t="inlineStr">
        <is>
          <t>STOCKHOLMS LÄN</t>
        </is>
      </c>
      <c r="E47" t="inlineStr">
        <is>
          <t>SIGTUNA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68829-2019</t>
        </is>
      </c>
      <c r="B48" s="1" t="n">
        <v>43819</v>
      </c>
      <c r="C48" s="1" t="n">
        <v>45294</v>
      </c>
      <c r="D48" t="inlineStr">
        <is>
          <t>STOCKHOLMS LÄN</t>
        </is>
      </c>
      <c r="E48" t="inlineStr">
        <is>
          <t>SIGTUNA</t>
        </is>
      </c>
      <c r="F48" t="inlineStr">
        <is>
          <t>Kyrkan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10244-2020</t>
        </is>
      </c>
      <c r="B49" s="1" t="n">
        <v>43885</v>
      </c>
      <c r="C49" s="1" t="n">
        <v>45294</v>
      </c>
      <c r="D49" t="inlineStr">
        <is>
          <t>STOCKHOLMS LÄN</t>
        </is>
      </c>
      <c r="E49" t="inlineStr">
        <is>
          <t>SIGTUNA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10738-2020</t>
        </is>
      </c>
      <c r="B50" s="1" t="n">
        <v>43888</v>
      </c>
      <c r="C50" s="1" t="n">
        <v>45294</v>
      </c>
      <c r="D50" t="inlineStr">
        <is>
          <t>STOCKHOLMS LÄN</t>
        </is>
      </c>
      <c r="E50" t="inlineStr">
        <is>
          <t>SIGTUNA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10744-2020</t>
        </is>
      </c>
      <c r="B51" s="1" t="n">
        <v>43888</v>
      </c>
      <c r="C51" s="1" t="n">
        <v>45294</v>
      </c>
      <c r="D51" t="inlineStr">
        <is>
          <t>STOCKHOLMS LÄN</t>
        </is>
      </c>
      <c r="E51" t="inlineStr">
        <is>
          <t>SIGTUNA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14512-2020</t>
        </is>
      </c>
      <c r="B52" s="1" t="n">
        <v>43907</v>
      </c>
      <c r="C52" s="1" t="n">
        <v>45294</v>
      </c>
      <c r="D52" t="inlineStr">
        <is>
          <t>STOCKHOLMS LÄN</t>
        </is>
      </c>
      <c r="E52" t="inlineStr">
        <is>
          <t>SIGTUNA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20571-2020</t>
        </is>
      </c>
      <c r="B53" s="1" t="n">
        <v>43948</v>
      </c>
      <c r="C53" s="1" t="n">
        <v>45294</v>
      </c>
      <c r="D53" t="inlineStr">
        <is>
          <t>STOCKHOLMS LÄN</t>
        </is>
      </c>
      <c r="E53" t="inlineStr">
        <is>
          <t>SIGTUNA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23098-2020</t>
        </is>
      </c>
      <c r="B54" s="1" t="n">
        <v>43965</v>
      </c>
      <c r="C54" s="1" t="n">
        <v>45294</v>
      </c>
      <c r="D54" t="inlineStr">
        <is>
          <t>STOCKHOLMS LÄN</t>
        </is>
      </c>
      <c r="E54" t="inlineStr">
        <is>
          <t>SIGTUNA</t>
        </is>
      </c>
      <c r="G54" t="n">
        <v>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25745-2020</t>
        </is>
      </c>
      <c r="B55" s="1" t="n">
        <v>43984</v>
      </c>
      <c r="C55" s="1" t="n">
        <v>45294</v>
      </c>
      <c r="D55" t="inlineStr">
        <is>
          <t>STOCKHOLMS LÄN</t>
        </is>
      </c>
      <c r="E55" t="inlineStr">
        <is>
          <t>SIGTUNA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28663-2020</t>
        </is>
      </c>
      <c r="B56" s="1" t="n">
        <v>43999</v>
      </c>
      <c r="C56" s="1" t="n">
        <v>45294</v>
      </c>
      <c r="D56" t="inlineStr">
        <is>
          <t>STOCKHOLMS LÄN</t>
        </is>
      </c>
      <c r="E56" t="inlineStr">
        <is>
          <t>SIGTUNA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28923-2020</t>
        </is>
      </c>
      <c r="B57" s="1" t="n">
        <v>44000</v>
      </c>
      <c r="C57" s="1" t="n">
        <v>45294</v>
      </c>
      <c r="D57" t="inlineStr">
        <is>
          <t>STOCKHOLMS LÄN</t>
        </is>
      </c>
      <c r="E57" t="inlineStr">
        <is>
          <t>SIGTUNA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42714-2020</t>
        </is>
      </c>
      <c r="B58" s="1" t="n">
        <v>44077</v>
      </c>
      <c r="C58" s="1" t="n">
        <v>45294</v>
      </c>
      <c r="D58" t="inlineStr">
        <is>
          <t>STOCKHOLMS LÄN</t>
        </is>
      </c>
      <c r="E58" t="inlineStr">
        <is>
          <t>SIGTUNA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50585-2020</t>
        </is>
      </c>
      <c r="B59" s="1" t="n">
        <v>44110</v>
      </c>
      <c r="C59" s="1" t="n">
        <v>45294</v>
      </c>
      <c r="D59" t="inlineStr">
        <is>
          <t>STOCKHOLMS LÄN</t>
        </is>
      </c>
      <c r="E59" t="inlineStr">
        <is>
          <t>SIGTUNA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64372-2020</t>
        </is>
      </c>
      <c r="B60" s="1" t="n">
        <v>44168</v>
      </c>
      <c r="C60" s="1" t="n">
        <v>45294</v>
      </c>
      <c r="D60" t="inlineStr">
        <is>
          <t>STOCKHOLMS LÄN</t>
        </is>
      </c>
      <c r="E60" t="inlineStr">
        <is>
          <t>SIGTUNA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64981-2020</t>
        </is>
      </c>
      <c r="B61" s="1" t="n">
        <v>44172</v>
      </c>
      <c r="C61" s="1" t="n">
        <v>45294</v>
      </c>
      <c r="D61" t="inlineStr">
        <is>
          <t>STOCKHOLMS LÄN</t>
        </is>
      </c>
      <c r="E61" t="inlineStr">
        <is>
          <t>SIGTUNA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6430-2021</t>
        </is>
      </c>
      <c r="B62" s="1" t="n">
        <v>44235</v>
      </c>
      <c r="C62" s="1" t="n">
        <v>45294</v>
      </c>
      <c r="D62" t="inlineStr">
        <is>
          <t>STOCKHOLMS LÄN</t>
        </is>
      </c>
      <c r="E62" t="inlineStr">
        <is>
          <t>SIGTUNA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11197-2021</t>
        </is>
      </c>
      <c r="B63" s="1" t="n">
        <v>44263</v>
      </c>
      <c r="C63" s="1" t="n">
        <v>45294</v>
      </c>
      <c r="D63" t="inlineStr">
        <is>
          <t>STOCKHOLMS LÄN</t>
        </is>
      </c>
      <c r="E63" t="inlineStr">
        <is>
          <t>SIGTUNA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11195-2021</t>
        </is>
      </c>
      <c r="B64" s="1" t="n">
        <v>44263</v>
      </c>
      <c r="C64" s="1" t="n">
        <v>45294</v>
      </c>
      <c r="D64" t="inlineStr">
        <is>
          <t>STOCKHOLMS LÄN</t>
        </is>
      </c>
      <c r="E64" t="inlineStr">
        <is>
          <t>SIGTUNA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11477-2021</t>
        </is>
      </c>
      <c r="B65" s="1" t="n">
        <v>44264</v>
      </c>
      <c r="C65" s="1" t="n">
        <v>45294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11459-2021</t>
        </is>
      </c>
      <c r="B66" s="1" t="n">
        <v>44264</v>
      </c>
      <c r="C66" s="1" t="n">
        <v>45294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11713-2021</t>
        </is>
      </c>
      <c r="B67" s="1" t="n">
        <v>44265</v>
      </c>
      <c r="C67" s="1" t="n">
        <v>45294</v>
      </c>
      <c r="D67" t="inlineStr">
        <is>
          <t>STOCKHOLMS LÄN</t>
        </is>
      </c>
      <c r="E67" t="inlineStr">
        <is>
          <t>SIGTUNA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11718-2021</t>
        </is>
      </c>
      <c r="B68" s="1" t="n">
        <v>44265</v>
      </c>
      <c r="C68" s="1" t="n">
        <v>45294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15428-2021</t>
        </is>
      </c>
      <c r="B69" s="1" t="n">
        <v>44285</v>
      </c>
      <c r="C69" s="1" t="n">
        <v>45294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35953-2021</t>
        </is>
      </c>
      <c r="B70" s="1" t="n">
        <v>44385</v>
      </c>
      <c r="C70" s="1" t="n">
        <v>45294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53090-2021</t>
        </is>
      </c>
      <c r="B71" s="1" t="n">
        <v>44467</v>
      </c>
      <c r="C71" s="1" t="n">
        <v>45294</v>
      </c>
      <c r="D71" t="inlineStr">
        <is>
          <t>STOCKHOLMS LÄN</t>
        </is>
      </c>
      <c r="E71" t="inlineStr">
        <is>
          <t>SIGTUNA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53462-2021</t>
        </is>
      </c>
      <c r="B72" s="1" t="n">
        <v>44468</v>
      </c>
      <c r="C72" s="1" t="n">
        <v>45294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55112-2021</t>
        </is>
      </c>
      <c r="B73" s="1" t="n">
        <v>44474</v>
      </c>
      <c r="C73" s="1" t="n">
        <v>45294</v>
      </c>
      <c r="D73" t="inlineStr">
        <is>
          <t>STOCKHOLMS LÄN</t>
        </is>
      </c>
      <c r="E73" t="inlineStr">
        <is>
          <t>SIGTUNA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56724-2021</t>
        </is>
      </c>
      <c r="B74" s="1" t="n">
        <v>44480</v>
      </c>
      <c r="C74" s="1" t="n">
        <v>45294</v>
      </c>
      <c r="D74" t="inlineStr">
        <is>
          <t>STOCKHOLMS LÄN</t>
        </is>
      </c>
      <c r="E74" t="inlineStr">
        <is>
          <t>SIGTUNA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60838-2021</t>
        </is>
      </c>
      <c r="B75" s="1" t="n">
        <v>44497</v>
      </c>
      <c r="C75" s="1" t="n">
        <v>45294</v>
      </c>
      <c r="D75" t="inlineStr">
        <is>
          <t>STOCKHOLMS LÄN</t>
        </is>
      </c>
      <c r="E75" t="inlineStr">
        <is>
          <t>SIGTUNA</t>
        </is>
      </c>
      <c r="G75" t="n">
        <v>13.7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61937-2021</t>
        </is>
      </c>
      <c r="B76" s="1" t="n">
        <v>44502</v>
      </c>
      <c r="C76" s="1" t="n">
        <v>45294</v>
      </c>
      <c r="D76" t="inlineStr">
        <is>
          <t>STOCKHOLMS LÄN</t>
        </is>
      </c>
      <c r="E76" t="inlineStr">
        <is>
          <t>SIGTUNA</t>
        </is>
      </c>
      <c r="G76" t="n">
        <v>14.7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61919-2021</t>
        </is>
      </c>
      <c r="B77" s="1" t="n">
        <v>44502</v>
      </c>
      <c r="C77" s="1" t="n">
        <v>45294</v>
      </c>
      <c r="D77" t="inlineStr">
        <is>
          <t>STOCKHOLMS LÄN</t>
        </is>
      </c>
      <c r="E77" t="inlineStr">
        <is>
          <t>SIGTUNA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65340-2021</t>
        </is>
      </c>
      <c r="B78" s="1" t="n">
        <v>44515</v>
      </c>
      <c r="C78" s="1" t="n">
        <v>45294</v>
      </c>
      <c r="D78" t="inlineStr">
        <is>
          <t>STOCKHOLMS LÄN</t>
        </is>
      </c>
      <c r="E78" t="inlineStr">
        <is>
          <t>SIGTUNA</t>
        </is>
      </c>
      <c r="F78" t="inlineStr">
        <is>
          <t>Kyrkan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72530-2021</t>
        </is>
      </c>
      <c r="B79" s="1" t="n">
        <v>44546</v>
      </c>
      <c r="C79" s="1" t="n">
        <v>45294</v>
      </c>
      <c r="D79" t="inlineStr">
        <is>
          <t>STOCKHOLMS LÄN</t>
        </is>
      </c>
      <c r="E79" t="inlineStr">
        <is>
          <t>SIGTUNA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74170-2021</t>
        </is>
      </c>
      <c r="B80" s="1" t="n">
        <v>44557</v>
      </c>
      <c r="C80" s="1" t="n">
        <v>45294</v>
      </c>
      <c r="D80" t="inlineStr">
        <is>
          <t>STOCKHOLMS LÄN</t>
        </is>
      </c>
      <c r="E80" t="inlineStr">
        <is>
          <t>SIGTUNA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74167-2021</t>
        </is>
      </c>
      <c r="B81" s="1" t="n">
        <v>44557</v>
      </c>
      <c r="C81" s="1" t="n">
        <v>45294</v>
      </c>
      <c r="D81" t="inlineStr">
        <is>
          <t>STOCKHOLMS LÄN</t>
        </is>
      </c>
      <c r="E81" t="inlineStr">
        <is>
          <t>SIGTUNA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862-2022</t>
        </is>
      </c>
      <c r="B82" s="1" t="n">
        <v>44571</v>
      </c>
      <c r="C82" s="1" t="n">
        <v>45294</v>
      </c>
      <c r="D82" t="inlineStr">
        <is>
          <t>STOCKHOLMS LÄN</t>
        </is>
      </c>
      <c r="E82" t="inlineStr">
        <is>
          <t>SIGTUNA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7214-2022</t>
        </is>
      </c>
      <c r="B83" s="1" t="n">
        <v>44606</v>
      </c>
      <c r="C83" s="1" t="n">
        <v>45294</v>
      </c>
      <c r="D83" t="inlineStr">
        <is>
          <t>STOCKHOLMS LÄN</t>
        </is>
      </c>
      <c r="E83" t="inlineStr">
        <is>
          <t>SIGTUNA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7280-2022</t>
        </is>
      </c>
      <c r="B84" s="1" t="n">
        <v>44606</v>
      </c>
      <c r="C84" s="1" t="n">
        <v>45294</v>
      </c>
      <c r="D84" t="inlineStr">
        <is>
          <t>STOCKHOLMS LÄN</t>
        </is>
      </c>
      <c r="E84" t="inlineStr">
        <is>
          <t>SIGTUNA</t>
        </is>
      </c>
      <c r="F84" t="inlineStr">
        <is>
          <t>Övriga statliga verk och myndigheter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9750-2022</t>
        </is>
      </c>
      <c r="B85" s="1" t="n">
        <v>44618</v>
      </c>
      <c r="C85" s="1" t="n">
        <v>45294</v>
      </c>
      <c r="D85" t="inlineStr">
        <is>
          <t>STOCKHOLMS LÄN</t>
        </is>
      </c>
      <c r="E85" t="inlineStr">
        <is>
          <t>SIGTUNA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9767-2022</t>
        </is>
      </c>
      <c r="B86" s="1" t="n">
        <v>44619</v>
      </c>
      <c r="C86" s="1" t="n">
        <v>45294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12900-2022</t>
        </is>
      </c>
      <c r="B87" s="1" t="n">
        <v>44642</v>
      </c>
      <c r="C87" s="1" t="n">
        <v>45294</v>
      </c>
      <c r="D87" t="inlineStr">
        <is>
          <t>STOCKHOLMS LÄN</t>
        </is>
      </c>
      <c r="E87" t="inlineStr">
        <is>
          <t>SIGTUNA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HYPERLINK("https://klasma.github.io/Logging_0191/knärot/A 12900-2022 karta knärot.png", "A 12900-2022")</f>
        <v/>
      </c>
      <c r="V87">
        <f>HYPERLINK("https://klasma.github.io/Logging_0191/klagomål/A 12900-2022 FSC-klagomål.docx", "A 12900-2022")</f>
        <v/>
      </c>
      <c r="W87">
        <f>HYPERLINK("https://klasma.github.io/Logging_0191/klagomålsmail/A 12900-2022 FSC-klagomål mail.docx", "A 12900-2022")</f>
        <v/>
      </c>
      <c r="X87">
        <f>HYPERLINK("https://klasma.github.io/Logging_0191/tillsyn/A 12900-2022 tillsynsbegäran.docx", "A 12900-2022")</f>
        <v/>
      </c>
      <c r="Y87">
        <f>HYPERLINK("https://klasma.github.io/Logging_0191/tillsynsmail/A 12900-2022 tillsynsbegäran mail.docx", "A 12900-2022")</f>
        <v/>
      </c>
    </row>
    <row r="88" ht="15" customHeight="1">
      <c r="A88" t="inlineStr">
        <is>
          <t>A 12931-2022</t>
        </is>
      </c>
      <c r="B88" s="1" t="n">
        <v>44642</v>
      </c>
      <c r="C88" s="1" t="n">
        <v>45294</v>
      </c>
      <c r="D88" t="inlineStr">
        <is>
          <t>STOCKHOLMS LÄN</t>
        </is>
      </c>
      <c r="E88" t="inlineStr">
        <is>
          <t>SIGTUNA</t>
        </is>
      </c>
      <c r="F88" t="inlineStr">
        <is>
          <t>Kyrkan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17286-2022</t>
        </is>
      </c>
      <c r="B89" s="1" t="n">
        <v>44678</v>
      </c>
      <c r="C89" s="1" t="n">
        <v>45294</v>
      </c>
      <c r="D89" t="inlineStr">
        <is>
          <t>STOCKHOLMS LÄN</t>
        </is>
      </c>
      <c r="E89" t="inlineStr">
        <is>
          <t>SIGTUNA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19995-2022</t>
        </is>
      </c>
      <c r="B90" s="1" t="n">
        <v>44697</v>
      </c>
      <c r="C90" s="1" t="n">
        <v>45294</v>
      </c>
      <c r="D90" t="inlineStr">
        <is>
          <t>STOCKHOLMS LÄN</t>
        </is>
      </c>
      <c r="E90" t="inlineStr">
        <is>
          <t>SIGTUNA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28851-2022</t>
        </is>
      </c>
      <c r="B91" s="1" t="n">
        <v>44749</v>
      </c>
      <c r="C91" s="1" t="n">
        <v>45294</v>
      </c>
      <c r="D91" t="inlineStr">
        <is>
          <t>STOCKHOLMS LÄN</t>
        </is>
      </c>
      <c r="E91" t="inlineStr">
        <is>
          <t>SIGTUNA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28861-2022</t>
        </is>
      </c>
      <c r="B92" s="1" t="n">
        <v>44749</v>
      </c>
      <c r="C92" s="1" t="n">
        <v>45294</v>
      </c>
      <c r="D92" t="inlineStr">
        <is>
          <t>STOCKHOLMS LÄN</t>
        </is>
      </c>
      <c r="E92" t="inlineStr">
        <is>
          <t>SIGTUNA</t>
        </is>
      </c>
      <c r="G92" t="n">
        <v>10.9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28843-2022</t>
        </is>
      </c>
      <c r="B93" s="1" t="n">
        <v>44749</v>
      </c>
      <c r="C93" s="1" t="n">
        <v>45294</v>
      </c>
      <c r="D93" t="inlineStr">
        <is>
          <t>STOCKHOLMS LÄN</t>
        </is>
      </c>
      <c r="E93" t="inlineStr">
        <is>
          <t>SIGTUNA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29646-2022</t>
        </is>
      </c>
      <c r="B94" s="1" t="n">
        <v>44754</v>
      </c>
      <c r="C94" s="1" t="n">
        <v>45294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31695-2022</t>
        </is>
      </c>
      <c r="B95" s="1" t="n">
        <v>44776</v>
      </c>
      <c r="C95" s="1" t="n">
        <v>45294</v>
      </c>
      <c r="D95" t="inlineStr">
        <is>
          <t>STOCKHOLMS LÄN</t>
        </is>
      </c>
      <c r="E95" t="inlineStr">
        <is>
          <t>SIGTUNA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31684-2022</t>
        </is>
      </c>
      <c r="B96" s="1" t="n">
        <v>44776</v>
      </c>
      <c r="C96" s="1" t="n">
        <v>45294</v>
      </c>
      <c r="D96" t="inlineStr">
        <is>
          <t>STOCKHOLMS LÄN</t>
        </is>
      </c>
      <c r="E96" t="inlineStr">
        <is>
          <t>SIGTUNA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31697-2022</t>
        </is>
      </c>
      <c r="B97" s="1" t="n">
        <v>44776</v>
      </c>
      <c r="C97" s="1" t="n">
        <v>45294</v>
      </c>
      <c r="D97" t="inlineStr">
        <is>
          <t>STOCKHOLMS LÄN</t>
        </is>
      </c>
      <c r="E97" t="inlineStr">
        <is>
          <t>SIGTUNA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36181-2022</t>
        </is>
      </c>
      <c r="B98" s="1" t="n">
        <v>44803</v>
      </c>
      <c r="C98" s="1" t="n">
        <v>45294</v>
      </c>
      <c r="D98" t="inlineStr">
        <is>
          <t>STOCKHOLMS LÄN</t>
        </is>
      </c>
      <c r="E98" t="inlineStr">
        <is>
          <t>SIGTUNA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36179-2022</t>
        </is>
      </c>
      <c r="B99" s="1" t="n">
        <v>44803</v>
      </c>
      <c r="C99" s="1" t="n">
        <v>45294</v>
      </c>
      <c r="D99" t="inlineStr">
        <is>
          <t>STOCKHOLMS LÄN</t>
        </is>
      </c>
      <c r="E99" t="inlineStr">
        <is>
          <t>SIGTUNA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37444-2022</t>
        </is>
      </c>
      <c r="B100" s="1" t="n">
        <v>44809</v>
      </c>
      <c r="C100" s="1" t="n">
        <v>45294</v>
      </c>
      <c r="D100" t="inlineStr">
        <is>
          <t>STOCKHOLMS LÄN</t>
        </is>
      </c>
      <c r="E100" t="inlineStr">
        <is>
          <t>SIGTUNA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37442-2022</t>
        </is>
      </c>
      <c r="B101" s="1" t="n">
        <v>44809</v>
      </c>
      <c r="C101" s="1" t="n">
        <v>45294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41693-2022</t>
        </is>
      </c>
      <c r="B102" s="1" t="n">
        <v>44827</v>
      </c>
      <c r="C102" s="1" t="n">
        <v>45294</v>
      </c>
      <c r="D102" t="inlineStr">
        <is>
          <t>STOCKHOLMS LÄN</t>
        </is>
      </c>
      <c r="E102" t="inlineStr">
        <is>
          <t>SIGTUNA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42162-2022</t>
        </is>
      </c>
      <c r="B103" s="1" t="n">
        <v>44830</v>
      </c>
      <c r="C103" s="1" t="n">
        <v>45294</v>
      </c>
      <c r="D103" t="inlineStr">
        <is>
          <t>STOCKHOLMS LÄN</t>
        </is>
      </c>
      <c r="E103" t="inlineStr">
        <is>
          <t>SIGTUNA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56801-2022</t>
        </is>
      </c>
      <c r="B104" s="1" t="n">
        <v>44894</v>
      </c>
      <c r="C104" s="1" t="n">
        <v>45294</v>
      </c>
      <c r="D104" t="inlineStr">
        <is>
          <t>STOCKHOLMS LÄN</t>
        </is>
      </c>
      <c r="E104" t="inlineStr">
        <is>
          <t>SIGTUNA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56796-2022</t>
        </is>
      </c>
      <c r="B105" s="1" t="n">
        <v>44894</v>
      </c>
      <c r="C105" s="1" t="n">
        <v>45294</v>
      </c>
      <c r="D105" t="inlineStr">
        <is>
          <t>STOCKHOLMS LÄN</t>
        </is>
      </c>
      <c r="E105" t="inlineStr">
        <is>
          <t>SIGTUNA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59165-2022</t>
        </is>
      </c>
      <c r="B106" s="1" t="n">
        <v>44904</v>
      </c>
      <c r="C106" s="1" t="n">
        <v>45294</v>
      </c>
      <c r="D106" t="inlineStr">
        <is>
          <t>STOCKHOLMS LÄN</t>
        </is>
      </c>
      <c r="E106" t="inlineStr">
        <is>
          <t>SIGTUNA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59168-2022</t>
        </is>
      </c>
      <c r="B107" s="1" t="n">
        <v>44904</v>
      </c>
      <c r="C107" s="1" t="n">
        <v>45294</v>
      </c>
      <c r="D107" t="inlineStr">
        <is>
          <t>STOCKHOLMS LÄN</t>
        </is>
      </c>
      <c r="E107" t="inlineStr">
        <is>
          <t>SIGTUNA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9250-2023</t>
        </is>
      </c>
      <c r="B108" s="1" t="n">
        <v>44980</v>
      </c>
      <c r="C108" s="1" t="n">
        <v>45294</v>
      </c>
      <c r="D108" t="inlineStr">
        <is>
          <t>STOCKHOLMS LÄN</t>
        </is>
      </c>
      <c r="E108" t="inlineStr">
        <is>
          <t>SIGTUNA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10790-2023</t>
        </is>
      </c>
      <c r="B109" s="1" t="n">
        <v>44989</v>
      </c>
      <c r="C109" s="1" t="n">
        <v>45294</v>
      </c>
      <c r="D109" t="inlineStr">
        <is>
          <t>STOCKHOLMS LÄN</t>
        </is>
      </c>
      <c r="E109" t="inlineStr">
        <is>
          <t>SIGTUNA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11285-2023</t>
        </is>
      </c>
      <c r="B110" s="1" t="n">
        <v>44992</v>
      </c>
      <c r="C110" s="1" t="n">
        <v>45294</v>
      </c>
      <c r="D110" t="inlineStr">
        <is>
          <t>STOCKHOLMS LÄN</t>
        </is>
      </c>
      <c r="E110" t="inlineStr">
        <is>
          <t>SIGTUNA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15452-2023</t>
        </is>
      </c>
      <c r="B111" s="1" t="n">
        <v>45020</v>
      </c>
      <c r="C111" s="1" t="n">
        <v>45294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17318-2023</t>
        </is>
      </c>
      <c r="B112" s="1" t="n">
        <v>45035</v>
      </c>
      <c r="C112" s="1" t="n">
        <v>45294</v>
      </c>
      <c r="D112" t="inlineStr">
        <is>
          <t>STOCKHOLMS LÄN</t>
        </is>
      </c>
      <c r="E112" t="inlineStr">
        <is>
          <t>SIGTUNA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17320-2023</t>
        </is>
      </c>
      <c r="B113" s="1" t="n">
        <v>45035</v>
      </c>
      <c r="C113" s="1" t="n">
        <v>45294</v>
      </c>
      <c r="D113" t="inlineStr">
        <is>
          <t>STOCKHOLMS LÄN</t>
        </is>
      </c>
      <c r="E113" t="inlineStr">
        <is>
          <t>SIGTUNA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20375-2023</t>
        </is>
      </c>
      <c r="B114" s="1" t="n">
        <v>45054</v>
      </c>
      <c r="C114" s="1" t="n">
        <v>45294</v>
      </c>
      <c r="D114" t="inlineStr">
        <is>
          <t>STOCKHOLMS LÄN</t>
        </is>
      </c>
      <c r="E114" t="inlineStr">
        <is>
          <t>SIGTUNA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20363-2023</t>
        </is>
      </c>
      <c r="B115" s="1" t="n">
        <v>45054</v>
      </c>
      <c r="C115" s="1" t="n">
        <v>45294</v>
      </c>
      <c r="D115" t="inlineStr">
        <is>
          <t>STOCKHOLMS LÄN</t>
        </is>
      </c>
      <c r="E115" t="inlineStr">
        <is>
          <t>SIGTUNA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20960-2023</t>
        </is>
      </c>
      <c r="B116" s="1" t="n">
        <v>45061</v>
      </c>
      <c r="C116" s="1" t="n">
        <v>45294</v>
      </c>
      <c r="D116" t="inlineStr">
        <is>
          <t>STOCKHOLMS LÄN</t>
        </is>
      </c>
      <c r="E116" t="inlineStr">
        <is>
          <t>SIGTUNA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20957-2023</t>
        </is>
      </c>
      <c r="B117" s="1" t="n">
        <v>45061</v>
      </c>
      <c r="C117" s="1" t="n">
        <v>45294</v>
      </c>
      <c r="D117" t="inlineStr">
        <is>
          <t>STOCKHOLMS LÄN</t>
        </is>
      </c>
      <c r="E117" t="inlineStr">
        <is>
          <t>SIGTUNA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25531-2023</t>
        </is>
      </c>
      <c r="B118" s="1" t="n">
        <v>45082</v>
      </c>
      <c r="C118" s="1" t="n">
        <v>45294</v>
      </c>
      <c r="D118" t="inlineStr">
        <is>
          <t>STOCKHOLMS LÄN</t>
        </is>
      </c>
      <c r="E118" t="inlineStr">
        <is>
          <t>SIGTUNA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24636-2023</t>
        </is>
      </c>
      <c r="B119" s="1" t="n">
        <v>45084</v>
      </c>
      <c r="C119" s="1" t="n">
        <v>45294</v>
      </c>
      <c r="D119" t="inlineStr">
        <is>
          <t>STOCKHOLMS LÄN</t>
        </is>
      </c>
      <c r="E119" t="inlineStr">
        <is>
          <t>SIGTUNA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25459-2023</t>
        </is>
      </c>
      <c r="B120" s="1" t="n">
        <v>45089</v>
      </c>
      <c r="C120" s="1" t="n">
        <v>45294</v>
      </c>
      <c r="D120" t="inlineStr">
        <is>
          <t>STOCKHOLMS LÄN</t>
        </is>
      </c>
      <c r="E120" t="inlineStr">
        <is>
          <t>SIGTUNA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25464-2023</t>
        </is>
      </c>
      <c r="B121" s="1" t="n">
        <v>45089</v>
      </c>
      <c r="C121" s="1" t="n">
        <v>45294</v>
      </c>
      <c r="D121" t="inlineStr">
        <is>
          <t>STOCKHOLMS LÄN</t>
        </is>
      </c>
      <c r="E121" t="inlineStr">
        <is>
          <t>SIGTUNA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25452-2023</t>
        </is>
      </c>
      <c r="B122" s="1" t="n">
        <v>45089</v>
      </c>
      <c r="C122" s="1" t="n">
        <v>45294</v>
      </c>
      <c r="D122" t="inlineStr">
        <is>
          <t>STOCKHOLMS LÄN</t>
        </is>
      </c>
      <c r="E122" t="inlineStr">
        <is>
          <t>SIGTUNA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25468-2023</t>
        </is>
      </c>
      <c r="B123" s="1" t="n">
        <v>45089</v>
      </c>
      <c r="C123" s="1" t="n">
        <v>45294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32420-2023</t>
        </is>
      </c>
      <c r="B124" s="1" t="n">
        <v>45110</v>
      </c>
      <c r="C124" s="1" t="n">
        <v>45294</v>
      </c>
      <c r="D124" t="inlineStr">
        <is>
          <t>STOCKHOLMS LÄN</t>
        </is>
      </c>
      <c r="E124" t="inlineStr">
        <is>
          <t>SIGTUNA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32424-2023</t>
        </is>
      </c>
      <c r="B125" s="1" t="n">
        <v>45110</v>
      </c>
      <c r="C125" s="1" t="n">
        <v>45294</v>
      </c>
      <c r="D125" t="inlineStr">
        <is>
          <t>STOCKHOLMS LÄN</t>
        </is>
      </c>
      <c r="E125" t="inlineStr">
        <is>
          <t>SIGTUNA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32426-2023</t>
        </is>
      </c>
      <c r="B126" s="1" t="n">
        <v>45110</v>
      </c>
      <c r="C126" s="1" t="n">
        <v>45294</v>
      </c>
      <c r="D126" t="inlineStr">
        <is>
          <t>STOCKHOLMS LÄN</t>
        </is>
      </c>
      <c r="E126" t="inlineStr">
        <is>
          <t>SIGTUNA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30571-2023</t>
        </is>
      </c>
      <c r="B127" s="1" t="n">
        <v>45111</v>
      </c>
      <c r="C127" s="1" t="n">
        <v>45294</v>
      </c>
      <c r="D127" t="inlineStr">
        <is>
          <t>STOCKHOLMS LÄN</t>
        </is>
      </c>
      <c r="E127" t="inlineStr">
        <is>
          <t>SIGTUNA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31042-2023</t>
        </is>
      </c>
      <c r="B128" s="1" t="n">
        <v>45113</v>
      </c>
      <c r="C128" s="1" t="n">
        <v>45294</v>
      </c>
      <c r="D128" t="inlineStr">
        <is>
          <t>STOCKHOLMS LÄN</t>
        </is>
      </c>
      <c r="E128" t="inlineStr">
        <is>
          <t>SIGTUNA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38276-2023</t>
        </is>
      </c>
      <c r="B129" s="1" t="n">
        <v>45160</v>
      </c>
      <c r="C129" s="1" t="n">
        <v>45294</v>
      </c>
      <c r="D129" t="inlineStr">
        <is>
          <t>STOCKHOLMS LÄN</t>
        </is>
      </c>
      <c r="E129" t="inlineStr">
        <is>
          <t>SIGTUNA</t>
        </is>
      </c>
      <c r="G129" t="n">
        <v>18.1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38537-2023</t>
        </is>
      </c>
      <c r="B130" s="1" t="n">
        <v>45162</v>
      </c>
      <c r="C130" s="1" t="n">
        <v>45294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38465-2023</t>
        </is>
      </c>
      <c r="B131" s="1" t="n">
        <v>45162</v>
      </c>
      <c r="C131" s="1" t="n">
        <v>45294</v>
      </c>
      <c r="D131" t="inlineStr">
        <is>
          <t>STOCKHOLMS LÄN</t>
        </is>
      </c>
      <c r="E131" t="inlineStr">
        <is>
          <t>SIGTUNA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39620-2023</t>
        </is>
      </c>
      <c r="B132" s="1" t="n">
        <v>45163</v>
      </c>
      <c r="C132" s="1" t="n">
        <v>45294</v>
      </c>
      <c r="D132" t="inlineStr">
        <is>
          <t>STOCKHOLMS LÄN</t>
        </is>
      </c>
      <c r="E132" t="inlineStr">
        <is>
          <t>SIGTUNA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40338-2023</t>
        </is>
      </c>
      <c r="B133" s="1" t="n">
        <v>45169</v>
      </c>
      <c r="C133" s="1" t="n">
        <v>45294</v>
      </c>
      <c r="D133" t="inlineStr">
        <is>
          <t>STOCKHOLMS LÄN</t>
        </is>
      </c>
      <c r="E133" t="inlineStr">
        <is>
          <t>SIGTUNA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41702-2023</t>
        </is>
      </c>
      <c r="B134" s="1" t="n">
        <v>45176</v>
      </c>
      <c r="C134" s="1" t="n">
        <v>45294</v>
      </c>
      <c r="D134" t="inlineStr">
        <is>
          <t>STOCKHOLMS LÄN</t>
        </is>
      </c>
      <c r="E134" t="inlineStr">
        <is>
          <t>SIGTUNA</t>
        </is>
      </c>
      <c r="F134" t="inlineStr">
        <is>
          <t>Allmännings- och besparingsskogar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41723-2023</t>
        </is>
      </c>
      <c r="B135" s="1" t="n">
        <v>45176</v>
      </c>
      <c r="C135" s="1" t="n">
        <v>45294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41952-2023</t>
        </is>
      </c>
      <c r="B136" s="1" t="n">
        <v>45177</v>
      </c>
      <c r="C136" s="1" t="n">
        <v>45294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43593-2023</t>
        </is>
      </c>
      <c r="B137" s="1" t="n">
        <v>45184</v>
      </c>
      <c r="C137" s="1" t="n">
        <v>45294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43700-2023</t>
        </is>
      </c>
      <c r="B138" s="1" t="n">
        <v>45187</v>
      </c>
      <c r="C138" s="1" t="n">
        <v>45294</v>
      </c>
      <c r="D138" t="inlineStr">
        <is>
          <t>STOCKHOLMS LÄN</t>
        </is>
      </c>
      <c r="E138" t="inlineStr">
        <is>
          <t>SIGTUNA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45319-2023</t>
        </is>
      </c>
      <c r="B139" s="1" t="n">
        <v>45191</v>
      </c>
      <c r="C139" s="1" t="n">
        <v>45294</v>
      </c>
      <c r="D139" t="inlineStr">
        <is>
          <t>STOCKHOLMS LÄN</t>
        </is>
      </c>
      <c r="E139" t="inlineStr">
        <is>
          <t>SIGTUNA</t>
        </is>
      </c>
      <c r="F139" t="inlineStr">
        <is>
          <t>Allmännings- och besparingsskogar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46757-2023</t>
        </is>
      </c>
      <c r="B140" s="1" t="n">
        <v>45198</v>
      </c>
      <c r="C140" s="1" t="n">
        <v>45294</v>
      </c>
      <c r="D140" t="inlineStr">
        <is>
          <t>STOCKHOLMS LÄN</t>
        </is>
      </c>
      <c r="E140" t="inlineStr">
        <is>
          <t>SIGTUNA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47204-2023</t>
        </is>
      </c>
      <c r="B141" s="1" t="n">
        <v>45202</v>
      </c>
      <c r="C141" s="1" t="n">
        <v>45294</v>
      </c>
      <c r="D141" t="inlineStr">
        <is>
          <t>STOCKHOLMS LÄN</t>
        </is>
      </c>
      <c r="E141" t="inlineStr">
        <is>
          <t>SIGTUNA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49589-2023</t>
        </is>
      </c>
      <c r="B142" s="1" t="n">
        <v>45211</v>
      </c>
      <c r="C142" s="1" t="n">
        <v>45294</v>
      </c>
      <c r="D142" t="inlineStr">
        <is>
          <t>STOCKHOLMS LÄN</t>
        </is>
      </c>
      <c r="E142" t="inlineStr">
        <is>
          <t>SIGTUNA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49591-2023</t>
        </is>
      </c>
      <c r="B143" s="1" t="n">
        <v>45211</v>
      </c>
      <c r="C143" s="1" t="n">
        <v>45294</v>
      </c>
      <c r="D143" t="inlineStr">
        <is>
          <t>STOCKHOLMS LÄN</t>
        </is>
      </c>
      <c r="E143" t="inlineStr">
        <is>
          <t>SIGTUNA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49592-2023</t>
        </is>
      </c>
      <c r="B144" s="1" t="n">
        <v>45211</v>
      </c>
      <c r="C144" s="1" t="n">
        <v>45294</v>
      </c>
      <c r="D144" t="inlineStr">
        <is>
          <t>STOCKHOLMS LÄN</t>
        </is>
      </c>
      <c r="E144" t="inlineStr">
        <is>
          <t>SIGTUNA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51770-2023</t>
        </is>
      </c>
      <c r="B145" s="1" t="n">
        <v>45222</v>
      </c>
      <c r="C145" s="1" t="n">
        <v>45294</v>
      </c>
      <c r="D145" t="inlineStr">
        <is>
          <t>STOCKHOLMS LÄN</t>
        </is>
      </c>
      <c r="E145" t="inlineStr">
        <is>
          <t>SIGTUNA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58675-2023</t>
        </is>
      </c>
      <c r="B146" s="1" t="n">
        <v>45247</v>
      </c>
      <c r="C146" s="1" t="n">
        <v>45294</v>
      </c>
      <c r="D146" t="inlineStr">
        <is>
          <t>STOCKHOLMS LÄN</t>
        </is>
      </c>
      <c r="E146" t="inlineStr">
        <is>
          <t>SIGTUNA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58649-2023</t>
        </is>
      </c>
      <c r="B147" s="1" t="n">
        <v>45251</v>
      </c>
      <c r="C147" s="1" t="n">
        <v>45294</v>
      </c>
      <c r="D147" t="inlineStr">
        <is>
          <t>STOCKHOLMS LÄN</t>
        </is>
      </c>
      <c r="E147" t="inlineStr">
        <is>
          <t>SIGTUNA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58620-2023</t>
        </is>
      </c>
      <c r="B148" s="1" t="n">
        <v>45251</v>
      </c>
      <c r="C148" s="1" t="n">
        <v>45294</v>
      </c>
      <c r="D148" t="inlineStr">
        <is>
          <t>STOCKHOLMS LÄN</t>
        </is>
      </c>
      <c r="E148" t="inlineStr">
        <is>
          <t>SIGTUNA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58619-2023</t>
        </is>
      </c>
      <c r="B149" s="1" t="n">
        <v>45251</v>
      </c>
      <c r="C149" s="1" t="n">
        <v>45294</v>
      </c>
      <c r="D149" t="inlineStr">
        <is>
          <t>STOCKHOLMS LÄN</t>
        </is>
      </c>
      <c r="E149" t="inlineStr">
        <is>
          <t>SIGTUNA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58647-2023</t>
        </is>
      </c>
      <c r="B150" s="1" t="n">
        <v>45251</v>
      </c>
      <c r="C150" s="1" t="n">
        <v>45294</v>
      </c>
      <c r="D150" t="inlineStr">
        <is>
          <t>STOCKHOLMS LÄN</t>
        </is>
      </c>
      <c r="E150" t="inlineStr">
        <is>
          <t>SIGTUNA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59958-2023</t>
        </is>
      </c>
      <c r="B151" s="1" t="n">
        <v>45257</v>
      </c>
      <c r="C151" s="1" t="n">
        <v>45294</v>
      </c>
      <c r="D151" t="inlineStr">
        <is>
          <t>STOCKHOLMS LÄN</t>
        </is>
      </c>
      <c r="E151" t="inlineStr">
        <is>
          <t>SIGTUNA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59948-2023</t>
        </is>
      </c>
      <c r="B152" s="1" t="n">
        <v>45257</v>
      </c>
      <c r="C152" s="1" t="n">
        <v>45294</v>
      </c>
      <c r="D152" t="inlineStr">
        <is>
          <t>STOCKHOLMS LÄN</t>
        </is>
      </c>
      <c r="E152" t="inlineStr">
        <is>
          <t>SIGTUNA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59957-2023</t>
        </is>
      </c>
      <c r="B153" s="1" t="n">
        <v>45257</v>
      </c>
      <c r="C153" s="1" t="n">
        <v>45294</v>
      </c>
      <c r="D153" t="inlineStr">
        <is>
          <t>STOCKHOLMS LÄN</t>
        </is>
      </c>
      <c r="E153" t="inlineStr">
        <is>
          <t>SIGTUNA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59946-2023</t>
        </is>
      </c>
      <c r="B154" s="1" t="n">
        <v>45257</v>
      </c>
      <c r="C154" s="1" t="n">
        <v>45294</v>
      </c>
      <c r="D154" t="inlineStr">
        <is>
          <t>STOCKHOLMS LÄN</t>
        </is>
      </c>
      <c r="E154" t="inlineStr">
        <is>
          <t>SIGTUNA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60159-2023</t>
        </is>
      </c>
      <c r="B155" s="1" t="n">
        <v>45258</v>
      </c>
      <c r="C155" s="1" t="n">
        <v>45294</v>
      </c>
      <c r="D155" t="inlineStr">
        <is>
          <t>STOCKHOLMS LÄN</t>
        </is>
      </c>
      <c r="E155" t="inlineStr">
        <is>
          <t>SIGTUNA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60155-2023</t>
        </is>
      </c>
      <c r="B156" s="1" t="n">
        <v>45258</v>
      </c>
      <c r="C156" s="1" t="n">
        <v>45294</v>
      </c>
      <c r="D156" t="inlineStr">
        <is>
          <t>STOCKHOLMS LÄN</t>
        </is>
      </c>
      <c r="E156" t="inlineStr">
        <is>
          <t>SIGTUNA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60932-2023</t>
        </is>
      </c>
      <c r="B157" s="1" t="n">
        <v>45261</v>
      </c>
      <c r="C157" s="1" t="n">
        <v>45294</v>
      </c>
      <c r="D157" t="inlineStr">
        <is>
          <t>STOCKHOLMS LÄN</t>
        </is>
      </c>
      <c r="E157" t="inlineStr">
        <is>
          <t>SIGTUNA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60934-2023</t>
        </is>
      </c>
      <c r="B158" s="1" t="n">
        <v>45261</v>
      </c>
      <c r="C158" s="1" t="n">
        <v>45294</v>
      </c>
      <c r="D158" t="inlineStr">
        <is>
          <t>STOCKHOLMS LÄN</t>
        </is>
      </c>
      <c r="E158" t="inlineStr">
        <is>
          <t>SIGTUNA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60922-2023</t>
        </is>
      </c>
      <c r="B159" s="1" t="n">
        <v>45261</v>
      </c>
      <c r="C159" s="1" t="n">
        <v>45294</v>
      </c>
      <c r="D159" t="inlineStr">
        <is>
          <t>STOCKHOLMS LÄN</t>
        </is>
      </c>
      <c r="E159" t="inlineStr">
        <is>
          <t>SIGTUNA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60935-2023</t>
        </is>
      </c>
      <c r="B160" s="1" t="n">
        <v>45261</v>
      </c>
      <c r="C160" s="1" t="n">
        <v>45294</v>
      </c>
      <c r="D160" t="inlineStr">
        <is>
          <t>STOCKHOLMS LÄN</t>
        </is>
      </c>
      <c r="E160" t="inlineStr">
        <is>
          <t>SIGTUNA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60927-2023</t>
        </is>
      </c>
      <c r="B161" s="1" t="n">
        <v>45261</v>
      </c>
      <c r="C161" s="1" t="n">
        <v>45294</v>
      </c>
      <c r="D161" t="inlineStr">
        <is>
          <t>STOCKHOLMS LÄN</t>
        </is>
      </c>
      <c r="E161" t="inlineStr">
        <is>
          <t>SIGTUNA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62010-2023</t>
        </is>
      </c>
      <c r="B162" s="1" t="n">
        <v>45266</v>
      </c>
      <c r="C162" s="1" t="n">
        <v>45294</v>
      </c>
      <c r="D162" t="inlineStr">
        <is>
          <t>STOCKHOLMS LÄN</t>
        </is>
      </c>
      <c r="E162" t="inlineStr">
        <is>
          <t>SIGTUNA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64345-2023</t>
        </is>
      </c>
      <c r="B163" s="1" t="n">
        <v>45280</v>
      </c>
      <c r="C163" s="1" t="n">
        <v>45294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64357-2023</t>
        </is>
      </c>
      <c r="B164" s="1" t="n">
        <v>45280</v>
      </c>
      <c r="C164" s="1" t="n">
        <v>45294</v>
      </c>
      <c r="D164" t="inlineStr">
        <is>
          <t>STOCKHOLMS LÄN</t>
        </is>
      </c>
      <c r="E164" t="inlineStr">
        <is>
          <t>SIGTUNA</t>
        </is>
      </c>
      <c r="F164" t="inlineStr">
        <is>
          <t>Allmännings- och besparingsskogar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2024-01-03T10:01:14Z</dcterms:created>
  <dcterms:modified xmlns:dcterms="http://purl.org/dc/terms/" xmlns:xsi="http://www.w3.org/2001/XMLSchema-instance" xsi:type="dcterms:W3CDTF">2024-01-03T10:01:14Z</dcterms:modified>
</cp:coreProperties>
</file>
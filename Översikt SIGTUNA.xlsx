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20030-2020</t>
        </is>
      </c>
      <c r="B2" s="1" t="n">
        <v>43942</v>
      </c>
      <c r="C2" s="1" t="n">
        <v>45634</v>
      </c>
      <c r="D2" t="inlineStr">
        <is>
          <t>STOCKHOLMS LÄN</t>
        </is>
      </c>
      <c r="E2" t="inlineStr">
        <is>
          <t>SIGTUNA</t>
        </is>
      </c>
      <c r="G2" t="n">
        <v>11.5</v>
      </c>
      <c r="H2" t="n">
        <v>9</v>
      </c>
      <c r="I2" t="n">
        <v>1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Grönfink
Tofsvipa
Svartvit flugsnappare
Talltita
Vågbandad barkbock
Gröngöling
Grönsiska
Järnsparv
Kungsfågel
Blåsippa</t>
        </is>
      </c>
      <c r="S2">
        <f>HYPERLINK("https://klasma.github.io/Logging_0191/artfynd/A 20030-2020 artfynd.xlsx", "A 20030-2020")</f>
        <v/>
      </c>
      <c r="T2">
        <f>HYPERLINK("https://klasma.github.io/Logging_0191/kartor/A 20030-2020 karta.png", "A 20030-2020")</f>
        <v/>
      </c>
      <c r="V2">
        <f>HYPERLINK("https://klasma.github.io/Logging_0191/klagomål/A 20030-2020 FSC-klagomål.docx", "A 20030-2020")</f>
        <v/>
      </c>
      <c r="W2">
        <f>HYPERLINK("https://klasma.github.io/Logging_0191/klagomålsmail/A 20030-2020 FSC-klagomål mail.docx", "A 20030-2020")</f>
        <v/>
      </c>
      <c r="X2">
        <f>HYPERLINK("https://klasma.github.io/Logging_0191/tillsyn/A 20030-2020 tillsynsbegäran.docx", "A 20030-2020")</f>
        <v/>
      </c>
      <c r="Y2">
        <f>HYPERLINK("https://klasma.github.io/Logging_0191/tillsynsmail/A 20030-2020 tillsynsbegäran mail.docx", "A 20030-2020")</f>
        <v/>
      </c>
      <c r="Z2">
        <f>HYPERLINK("https://klasma.github.io/Logging_0191/fåglar/A 20030-2020 prioriterade fågelarter.docx", "A 20030-2020")</f>
        <v/>
      </c>
    </row>
    <row r="3" ht="15" customHeight="1">
      <c r="A3" t="inlineStr">
        <is>
          <t>A 60838-2021</t>
        </is>
      </c>
      <c r="B3" s="1" t="n">
        <v>44497</v>
      </c>
      <c r="C3" s="1" t="n">
        <v>45634</v>
      </c>
      <c r="D3" t="inlineStr">
        <is>
          <t>STOCKHOLMS LÄN</t>
        </is>
      </c>
      <c r="E3" t="inlineStr">
        <is>
          <t>SIGTUNA</t>
        </is>
      </c>
      <c r="G3" t="n">
        <v>13.7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Blå kärrhök
Duvhök
Gulsparv
Rödvingetrast
Skrattmås
Grönsiska
Kungsfågel
Trädlärka
Törnskata</t>
        </is>
      </c>
      <c r="S3">
        <f>HYPERLINK("https://klasma.github.io/Logging_0191/artfynd/A 60838-2021 artfynd.xlsx", "A 60838-2021")</f>
        <v/>
      </c>
      <c r="T3">
        <f>HYPERLINK("https://klasma.github.io/Logging_0191/kartor/A 60838-2021 karta.png", "A 60838-2021")</f>
        <v/>
      </c>
      <c r="V3">
        <f>HYPERLINK("https://klasma.github.io/Logging_0191/klagomål/A 60838-2021 FSC-klagomål.docx", "A 60838-2021")</f>
        <v/>
      </c>
      <c r="W3">
        <f>HYPERLINK("https://klasma.github.io/Logging_0191/klagomålsmail/A 60838-2021 FSC-klagomål mail.docx", "A 60838-2021")</f>
        <v/>
      </c>
      <c r="X3">
        <f>HYPERLINK("https://klasma.github.io/Logging_0191/tillsyn/A 60838-2021 tillsynsbegäran.docx", "A 60838-2021")</f>
        <v/>
      </c>
      <c r="Y3">
        <f>HYPERLINK("https://klasma.github.io/Logging_0191/tillsynsmail/A 60838-2021 tillsynsbegäran mail.docx", "A 60838-2021")</f>
        <v/>
      </c>
      <c r="Z3">
        <f>HYPERLINK("https://klasma.github.io/Logging_0191/fåglar/A 60838-2021 prioriterade fågelarter.docx", "A 60838-2021")</f>
        <v/>
      </c>
    </row>
    <row r="4" ht="15" customHeight="1">
      <c r="A4" t="inlineStr">
        <is>
          <t>A 58658-2023</t>
        </is>
      </c>
      <c r="B4" s="1" t="n">
        <v>45251</v>
      </c>
      <c r="C4" s="1" t="n">
        <v>45634</v>
      </c>
      <c r="D4" t="inlineStr">
        <is>
          <t>STOCKHOLMS LÄN</t>
        </is>
      </c>
      <c r="E4" t="inlineStr">
        <is>
          <t>SIGTUNA</t>
        </is>
      </c>
      <c r="F4" t="inlineStr">
        <is>
          <t>Kommuner</t>
        </is>
      </c>
      <c r="G4" t="n">
        <v>4.8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Aspborre
Entita
Grön aspvedbock
Spillkråka
Granbarkgnagare
Myskbock
Skogsödla
Blåsippa
Gullviva</t>
        </is>
      </c>
      <c r="S4">
        <f>HYPERLINK("https://klasma.github.io/Logging_0191/artfynd/A 58658-2023 artfynd.xlsx", "A 58658-2023")</f>
        <v/>
      </c>
      <c r="T4">
        <f>HYPERLINK("https://klasma.github.io/Logging_0191/kartor/A 58658-2023 karta.png", "A 58658-2023")</f>
        <v/>
      </c>
      <c r="V4">
        <f>HYPERLINK("https://klasma.github.io/Logging_0191/klagomål/A 58658-2023 FSC-klagomål.docx", "A 58658-2023")</f>
        <v/>
      </c>
      <c r="W4">
        <f>HYPERLINK("https://klasma.github.io/Logging_0191/klagomålsmail/A 58658-2023 FSC-klagomål mail.docx", "A 58658-2023")</f>
        <v/>
      </c>
      <c r="X4">
        <f>HYPERLINK("https://klasma.github.io/Logging_0191/tillsyn/A 58658-2023 tillsynsbegäran.docx", "A 58658-2023")</f>
        <v/>
      </c>
      <c r="Y4">
        <f>HYPERLINK("https://klasma.github.io/Logging_0191/tillsynsmail/A 58658-2023 tillsynsbegäran mail.docx", "A 58658-2023")</f>
        <v/>
      </c>
      <c r="Z4">
        <f>HYPERLINK("https://klasma.github.io/Logging_0191/fåglar/A 58658-2023 prioriterade fågelarter.docx", "A 58658-2023")</f>
        <v/>
      </c>
    </row>
    <row r="5" ht="15" customHeight="1">
      <c r="A5" t="inlineStr">
        <is>
          <t>A 36440-2024</t>
        </is>
      </c>
      <c r="B5" s="1" t="n">
        <v>45535</v>
      </c>
      <c r="C5" s="1" t="n">
        <v>45634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7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Gulsparv
Talltita
Ärtsångare
Bronshjon
Granbarkgnagare
Grönsiska
Kungsfågel
Vanlig padda
Revlummer</t>
        </is>
      </c>
      <c r="S5">
        <f>HYPERLINK("https://klasma.github.io/Logging_0191/artfynd/A 36440-2024 artfynd.xlsx", "A 36440-2024")</f>
        <v/>
      </c>
      <c r="T5">
        <f>HYPERLINK("https://klasma.github.io/Logging_0191/kartor/A 36440-2024 karta.png", "A 36440-2024")</f>
        <v/>
      </c>
      <c r="V5">
        <f>HYPERLINK("https://klasma.github.io/Logging_0191/klagomål/A 36440-2024 FSC-klagomål.docx", "A 36440-2024")</f>
        <v/>
      </c>
      <c r="W5">
        <f>HYPERLINK("https://klasma.github.io/Logging_0191/klagomålsmail/A 36440-2024 FSC-klagomål mail.docx", "A 36440-2024")</f>
        <v/>
      </c>
      <c r="X5">
        <f>HYPERLINK("https://klasma.github.io/Logging_0191/tillsyn/A 36440-2024 tillsynsbegäran.docx", "A 36440-2024")</f>
        <v/>
      </c>
      <c r="Y5">
        <f>HYPERLINK("https://klasma.github.io/Logging_0191/tillsynsmail/A 36440-2024 tillsynsbegäran mail.docx", "A 36440-2024")</f>
        <v/>
      </c>
      <c r="Z5">
        <f>HYPERLINK("https://klasma.github.io/Logging_0191/fåglar/A 36440-2024 prioriterade fågelarter.docx", "A 36440-2024")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45634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6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Thomsons trägnagare
Vanlig flatbagge
Grönsiska
Järnsparv
Kungsfågel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10000-2022</t>
        </is>
      </c>
      <c r="B7" s="1" t="n">
        <v>44621</v>
      </c>
      <c r="C7" s="1" t="n">
        <v>45634</v>
      </c>
      <c r="D7" t="inlineStr">
        <is>
          <t>STOCKHOLMS LÄN</t>
        </is>
      </c>
      <c r="E7" t="inlineStr">
        <is>
          <t>SIGTUNA</t>
        </is>
      </c>
      <c r="G7" t="n">
        <v>15.3</v>
      </c>
      <c r="H7" t="n">
        <v>7</v>
      </c>
      <c r="I7" t="n">
        <v>0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Tornseglare
Hussvala
Vinterhämpling
Fiskmås
Gulsparv
Ärtsångare
Grönsiska</t>
        </is>
      </c>
      <c r="S7">
        <f>HYPERLINK("https://klasma.github.io/Logging_0191/artfynd/A 10000-2022 artfynd.xlsx", "A 10000-2022")</f>
        <v/>
      </c>
      <c r="T7">
        <f>HYPERLINK("https://klasma.github.io/Logging_0191/kartor/A 10000-2022 karta.png", "A 10000-2022")</f>
        <v/>
      </c>
      <c r="V7">
        <f>HYPERLINK("https://klasma.github.io/Logging_0191/klagomål/A 10000-2022 FSC-klagomål.docx", "A 10000-2022")</f>
        <v/>
      </c>
      <c r="W7">
        <f>HYPERLINK("https://klasma.github.io/Logging_0191/klagomålsmail/A 10000-2022 FSC-klagomål mail.docx", "A 10000-2022")</f>
        <v/>
      </c>
      <c r="X7">
        <f>HYPERLINK("https://klasma.github.io/Logging_0191/tillsyn/A 10000-2022 tillsynsbegäran.docx", "A 10000-2022")</f>
        <v/>
      </c>
      <c r="Y7">
        <f>HYPERLINK("https://klasma.github.io/Logging_0191/tillsynsmail/A 10000-2022 tillsynsbegäran mail.docx", "A 10000-2022")</f>
        <v/>
      </c>
      <c r="Z7">
        <f>HYPERLINK("https://klasma.github.io/Logging_0191/fåglar/A 10000-2022 prioriterade fågelarter.docx", "A 10000-2022")</f>
        <v/>
      </c>
    </row>
    <row r="8" ht="15" customHeight="1">
      <c r="A8" t="inlineStr">
        <is>
          <t>A 27425-2023</t>
        </is>
      </c>
      <c r="B8" s="1" t="n">
        <v>45097</v>
      </c>
      <c r="C8" s="1" t="n">
        <v>45634</v>
      </c>
      <c r="D8" t="inlineStr">
        <is>
          <t>STOCKHOLMS LÄN</t>
        </is>
      </c>
      <c r="E8" t="inlineStr">
        <is>
          <t>SIGTUNA</t>
        </is>
      </c>
      <c r="F8" t="inlineStr">
        <is>
          <t>Allmännings- och besparingsskogar</t>
        </is>
      </c>
      <c r="G8" t="n">
        <v>9.300000000000001</v>
      </c>
      <c r="H8" t="n">
        <v>7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Gulsparv
Talltita
Grönsiska
Järnsparv
Kungsfågel
Skogsduva
Blåsippa</t>
        </is>
      </c>
      <c r="S8">
        <f>HYPERLINK("https://klasma.github.io/Logging_0191/artfynd/A 27425-2023 artfynd.xlsx", "A 27425-2023")</f>
        <v/>
      </c>
      <c r="T8">
        <f>HYPERLINK("https://klasma.github.io/Logging_0191/kartor/A 27425-2023 karta.png", "A 27425-2023")</f>
        <v/>
      </c>
      <c r="V8">
        <f>HYPERLINK("https://klasma.github.io/Logging_0191/klagomål/A 27425-2023 FSC-klagomål.docx", "A 27425-2023")</f>
        <v/>
      </c>
      <c r="W8">
        <f>HYPERLINK("https://klasma.github.io/Logging_0191/klagomålsmail/A 27425-2023 FSC-klagomål mail.docx", "A 27425-2023")</f>
        <v/>
      </c>
      <c r="X8">
        <f>HYPERLINK("https://klasma.github.io/Logging_0191/tillsyn/A 27425-2023 tillsynsbegäran.docx", "A 27425-2023")</f>
        <v/>
      </c>
      <c r="Y8">
        <f>HYPERLINK("https://klasma.github.io/Logging_0191/tillsynsmail/A 27425-2023 tillsynsbegäran mail.docx", "A 27425-2023")</f>
        <v/>
      </c>
      <c r="Z8">
        <f>HYPERLINK("https://klasma.github.io/Logging_0191/fåglar/A 27425-2023 prioriterade fågelarter.docx", "A 27425-2023")</f>
        <v/>
      </c>
    </row>
    <row r="9" ht="15" customHeight="1">
      <c r="A9" t="inlineStr">
        <is>
          <t>A 39613-2023</t>
        </is>
      </c>
      <c r="B9" s="1" t="n">
        <v>45163</v>
      </c>
      <c r="C9" s="1" t="n">
        <v>45634</v>
      </c>
      <c r="D9" t="inlineStr">
        <is>
          <t>STOCKHOLMS LÄN</t>
        </is>
      </c>
      <c r="E9" t="inlineStr">
        <is>
          <t>SIGTUNA</t>
        </is>
      </c>
      <c r="G9" t="n">
        <v>15.2</v>
      </c>
      <c r="H9" t="n">
        <v>5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Talltita
Kornig nållav
Grönsiska
Kungsfågel
Vanlig padda
Revlummer</t>
        </is>
      </c>
      <c r="S9">
        <f>HYPERLINK("https://klasma.github.io/Logging_0191/artfynd/A 39613-2023 artfynd.xlsx", "A 39613-2023")</f>
        <v/>
      </c>
      <c r="T9">
        <f>HYPERLINK("https://klasma.github.io/Logging_0191/kartor/A 39613-2023 karta.png", "A 39613-2023")</f>
        <v/>
      </c>
      <c r="V9">
        <f>HYPERLINK("https://klasma.github.io/Logging_0191/klagomål/A 39613-2023 FSC-klagomål.docx", "A 39613-2023")</f>
        <v/>
      </c>
      <c r="W9">
        <f>HYPERLINK("https://klasma.github.io/Logging_0191/klagomålsmail/A 39613-2023 FSC-klagomål mail.docx", "A 39613-2023")</f>
        <v/>
      </c>
      <c r="X9">
        <f>HYPERLINK("https://klasma.github.io/Logging_0191/tillsyn/A 39613-2023 tillsynsbegäran.docx", "A 39613-2023")</f>
        <v/>
      </c>
      <c r="Y9">
        <f>HYPERLINK("https://klasma.github.io/Logging_0191/tillsynsmail/A 39613-2023 tillsynsbegäran mail.docx", "A 39613-2023")</f>
        <v/>
      </c>
      <c r="Z9">
        <f>HYPERLINK("https://klasma.github.io/Logging_0191/fåglar/A 39613-2023 prioriterade fågelarter.docx", "A 39613-2023")</f>
        <v/>
      </c>
    </row>
    <row r="10" ht="15" customHeight="1">
      <c r="A10" t="inlineStr">
        <is>
          <t>A 39620-2023</t>
        </is>
      </c>
      <c r="B10" s="1" t="n">
        <v>45163</v>
      </c>
      <c r="C10" s="1" t="n">
        <v>45634</v>
      </c>
      <c r="D10" t="inlineStr">
        <is>
          <t>STOCKHOLMS LÄN</t>
        </is>
      </c>
      <c r="E10" t="inlineStr">
        <is>
          <t>SIGTUNA</t>
        </is>
      </c>
      <c r="G10" t="n">
        <v>2</v>
      </c>
      <c r="H10" t="n">
        <v>6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Grönfink
Duvhök
Talltita
Gröngöling
Grönsiska
Kungsfågel</t>
        </is>
      </c>
      <c r="S10">
        <f>HYPERLINK("https://klasma.github.io/Logging_0191/artfynd/A 39620-2023 artfynd.xlsx", "A 39620-2023")</f>
        <v/>
      </c>
      <c r="T10">
        <f>HYPERLINK("https://klasma.github.io/Logging_0191/kartor/A 39620-2023 karta.png", "A 39620-2023")</f>
        <v/>
      </c>
      <c r="V10">
        <f>HYPERLINK("https://klasma.github.io/Logging_0191/klagomål/A 39620-2023 FSC-klagomål.docx", "A 39620-2023")</f>
        <v/>
      </c>
      <c r="W10">
        <f>HYPERLINK("https://klasma.github.io/Logging_0191/klagomålsmail/A 39620-2023 FSC-klagomål mail.docx", "A 39620-2023")</f>
        <v/>
      </c>
      <c r="X10">
        <f>HYPERLINK("https://klasma.github.io/Logging_0191/tillsyn/A 39620-2023 tillsynsbegäran.docx", "A 39620-2023")</f>
        <v/>
      </c>
      <c r="Y10">
        <f>HYPERLINK("https://klasma.github.io/Logging_0191/tillsynsmail/A 39620-2023 tillsynsbegäran mail.docx", "A 39620-2023")</f>
        <v/>
      </c>
      <c r="Z10">
        <f>HYPERLINK("https://klasma.github.io/Logging_0191/fåglar/A 39620-2023 prioriterade fågelarter.docx", "A 39620-2023")</f>
        <v/>
      </c>
    </row>
    <row r="11" ht="15" customHeight="1">
      <c r="A11" t="inlineStr">
        <is>
          <t>A 61919-2021</t>
        </is>
      </c>
      <c r="B11" s="1" t="n">
        <v>44502</v>
      </c>
      <c r="C11" s="1" t="n">
        <v>45634</v>
      </c>
      <c r="D11" t="inlineStr">
        <is>
          <t>STOCKHOLMS LÄN</t>
        </is>
      </c>
      <c r="E11" t="inlineStr">
        <is>
          <t>SIGTUNA</t>
        </is>
      </c>
      <c r="G11" t="n">
        <v>4.7</v>
      </c>
      <c r="H11" t="n">
        <v>2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Björksplintborre
Granbarkgnagare
Vågbandad barkbock
Enkelbeckasin
Blåsippa</t>
        </is>
      </c>
      <c r="S11">
        <f>HYPERLINK("https://klasma.github.io/Logging_0191/artfynd/A 61919-2021 artfynd.xlsx", "A 61919-2021")</f>
        <v/>
      </c>
      <c r="T11">
        <f>HYPERLINK("https://klasma.github.io/Logging_0191/kartor/A 61919-2021 karta.png", "A 61919-2021")</f>
        <v/>
      </c>
      <c r="V11">
        <f>HYPERLINK("https://klasma.github.io/Logging_0191/klagomål/A 61919-2021 FSC-klagomål.docx", "A 61919-2021")</f>
        <v/>
      </c>
      <c r="W11">
        <f>HYPERLINK("https://klasma.github.io/Logging_0191/klagomålsmail/A 61919-2021 FSC-klagomål mail.docx", "A 61919-2021")</f>
        <v/>
      </c>
      <c r="X11">
        <f>HYPERLINK("https://klasma.github.io/Logging_0191/tillsyn/A 61919-2021 tillsynsbegäran.docx", "A 61919-2021")</f>
        <v/>
      </c>
      <c r="Y11">
        <f>HYPERLINK("https://klasma.github.io/Logging_0191/tillsynsmail/A 61919-2021 tillsynsbegäran mail.docx", "A 61919-2021")</f>
        <v/>
      </c>
      <c r="Z11">
        <f>HYPERLINK("https://klasma.github.io/Logging_0191/fåglar/A 61919-2021 prioriterade fågelarter.docx", "A 61919-2021")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45634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45634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11714-2021</t>
        </is>
      </c>
      <c r="B14" s="1" t="n">
        <v>44265</v>
      </c>
      <c r="C14" s="1" t="n">
        <v>45634</v>
      </c>
      <c r="D14" t="inlineStr">
        <is>
          <t>STOCKHOLMS LÄN</t>
        </is>
      </c>
      <c r="E14" t="inlineStr">
        <is>
          <t>SIGTUNA</t>
        </is>
      </c>
      <c r="F14" t="inlineStr">
        <is>
          <t>Sveaskog</t>
        </is>
      </c>
      <c r="G14" t="n">
        <v>11.4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Spretfibbla
Guldkremla
Snövit fingersvamp
Svavelriska</t>
        </is>
      </c>
      <c r="S14">
        <f>HYPERLINK("https://klasma.github.io/Logging_0191/artfynd/A 11714-2021 artfynd.xlsx", "A 11714-2021")</f>
        <v/>
      </c>
      <c r="T14">
        <f>HYPERLINK("https://klasma.github.io/Logging_0191/kartor/A 11714-2021 karta.png", "A 11714-2021")</f>
        <v/>
      </c>
      <c r="V14">
        <f>HYPERLINK("https://klasma.github.io/Logging_0191/klagomål/A 11714-2021 FSC-klagomål.docx", "A 11714-2021")</f>
        <v/>
      </c>
      <c r="W14">
        <f>HYPERLINK("https://klasma.github.io/Logging_0191/klagomålsmail/A 11714-2021 FSC-klagomål mail.docx", "A 11714-2021")</f>
        <v/>
      </c>
      <c r="X14">
        <f>HYPERLINK("https://klasma.github.io/Logging_0191/tillsyn/A 11714-2021 tillsynsbegäran.docx", "A 11714-2021")</f>
        <v/>
      </c>
      <c r="Y14">
        <f>HYPERLINK("https://klasma.github.io/Logging_0191/tillsynsmail/A 11714-2021 tillsynsbegäran mail.docx", "A 11714-2021")</f>
        <v/>
      </c>
    </row>
    <row r="15" ht="15" customHeight="1">
      <c r="A15" t="inlineStr">
        <is>
          <t>A 20571-2020</t>
        </is>
      </c>
      <c r="B15" s="1" t="n">
        <v>43948</v>
      </c>
      <c r="C15" s="1" t="n">
        <v>45634</v>
      </c>
      <c r="D15" t="inlineStr">
        <is>
          <t>STOCKHOLMS LÄN</t>
        </is>
      </c>
      <c r="E15" t="inlineStr">
        <is>
          <t>SIGTUNA</t>
        </is>
      </c>
      <c r="G15" t="n">
        <v>2.9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Nordfladdermus
Dvärgpipistrell
Större brunfladdermus</t>
        </is>
      </c>
      <c r="S15">
        <f>HYPERLINK("https://klasma.github.io/Logging_0191/artfynd/A 20571-2020 artfynd.xlsx", "A 20571-2020")</f>
        <v/>
      </c>
      <c r="T15">
        <f>HYPERLINK("https://klasma.github.io/Logging_0191/kartor/A 20571-2020 karta.png", "A 20571-2020")</f>
        <v/>
      </c>
      <c r="V15">
        <f>HYPERLINK("https://klasma.github.io/Logging_0191/klagomål/A 20571-2020 FSC-klagomål.docx", "A 20571-2020")</f>
        <v/>
      </c>
      <c r="W15">
        <f>HYPERLINK("https://klasma.github.io/Logging_0191/klagomålsmail/A 20571-2020 FSC-klagomål mail.docx", "A 20571-2020")</f>
        <v/>
      </c>
      <c r="X15">
        <f>HYPERLINK("https://klasma.github.io/Logging_0191/tillsyn/A 20571-2020 tillsynsbegäran.docx", "A 20571-2020")</f>
        <v/>
      </c>
      <c r="Y15">
        <f>HYPERLINK("https://klasma.github.io/Logging_0191/tillsynsmail/A 20571-2020 tillsynsbegäran mail.docx", "A 20571-2020")</f>
        <v/>
      </c>
    </row>
    <row r="16" ht="15" customHeight="1">
      <c r="A16" t="inlineStr">
        <is>
          <t>A 24386-2020</t>
        </is>
      </c>
      <c r="B16" s="1" t="n">
        <v>43973</v>
      </c>
      <c r="C16" s="1" t="n">
        <v>45634</v>
      </c>
      <c r="D16" t="inlineStr">
        <is>
          <t>STOCKHOLMS LÄN</t>
        </is>
      </c>
      <c r="E16" t="inlineStr">
        <is>
          <t>SIGTUNA</t>
        </is>
      </c>
      <c r="G16" t="n">
        <v>4.5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Granticka
Ullticka
Blåsippa</t>
        </is>
      </c>
      <c r="S16">
        <f>HYPERLINK("https://klasma.github.io/Logging_0191/artfynd/A 24386-2020 artfynd.xlsx", "A 24386-2020")</f>
        <v/>
      </c>
      <c r="T16">
        <f>HYPERLINK("https://klasma.github.io/Logging_0191/kartor/A 24386-2020 karta.png", "A 24386-2020")</f>
        <v/>
      </c>
      <c r="V16">
        <f>HYPERLINK("https://klasma.github.io/Logging_0191/klagomål/A 24386-2020 FSC-klagomål.docx", "A 24386-2020")</f>
        <v/>
      </c>
      <c r="W16">
        <f>HYPERLINK("https://klasma.github.io/Logging_0191/klagomålsmail/A 24386-2020 FSC-klagomål mail.docx", "A 24386-2020")</f>
        <v/>
      </c>
      <c r="X16">
        <f>HYPERLINK("https://klasma.github.io/Logging_0191/tillsyn/A 24386-2020 tillsynsbegäran.docx", "A 24386-2020")</f>
        <v/>
      </c>
      <c r="Y16">
        <f>HYPERLINK("https://klasma.github.io/Logging_0191/tillsynsmail/A 24386-2020 tillsynsbegäran mail.docx", "A 24386-2020")</f>
        <v/>
      </c>
    </row>
    <row r="17" ht="15" customHeight="1">
      <c r="A17" t="inlineStr">
        <is>
          <t>A 18451-2024</t>
        </is>
      </c>
      <c r="B17" s="1" t="n">
        <v>45425</v>
      </c>
      <c r="C17" s="1" t="n">
        <v>45634</v>
      </c>
      <c r="D17" t="inlineStr">
        <is>
          <t>STOCKHOLMS LÄN</t>
        </is>
      </c>
      <c r="E17" t="inlineStr">
        <is>
          <t>SIGTUNA</t>
        </is>
      </c>
      <c r="G17" t="n">
        <v>6.4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Kungsfågel
Blåsippa</t>
        </is>
      </c>
      <c r="S17">
        <f>HYPERLINK("https://klasma.github.io/Logging_0191/artfynd/A 18451-2024 artfynd.xlsx", "A 18451-2024")</f>
        <v/>
      </c>
      <c r="T17">
        <f>HYPERLINK("https://klasma.github.io/Logging_0191/kartor/A 18451-2024 karta.png", "A 18451-2024")</f>
        <v/>
      </c>
      <c r="V17">
        <f>HYPERLINK("https://klasma.github.io/Logging_0191/klagomål/A 18451-2024 FSC-klagomål.docx", "A 18451-2024")</f>
        <v/>
      </c>
      <c r="W17">
        <f>HYPERLINK("https://klasma.github.io/Logging_0191/klagomålsmail/A 18451-2024 FSC-klagomål mail.docx", "A 18451-2024")</f>
        <v/>
      </c>
      <c r="X17">
        <f>HYPERLINK("https://klasma.github.io/Logging_0191/tillsyn/A 18451-2024 tillsynsbegäran.docx", "A 18451-2024")</f>
        <v/>
      </c>
      <c r="Y17">
        <f>HYPERLINK("https://klasma.github.io/Logging_0191/tillsynsmail/A 18451-2024 tillsynsbegäran mail.docx", "A 18451-2024")</f>
        <v/>
      </c>
      <c r="Z17">
        <f>HYPERLINK("https://klasma.github.io/Logging_0191/fåglar/A 18451-2024 prioriterade fågelarter.docx", "A 18451-2024")</f>
        <v/>
      </c>
    </row>
    <row r="18" ht="15" customHeight="1">
      <c r="A18" t="inlineStr">
        <is>
          <t>A 49269-2020</t>
        </is>
      </c>
      <c r="B18" s="1" t="n">
        <v>44105</v>
      </c>
      <c r="C18" s="1" t="n">
        <v>45634</v>
      </c>
      <c r="D18" t="inlineStr">
        <is>
          <t>STOCKHOLMS LÄN</t>
        </is>
      </c>
      <c r="E18" t="inlineStr">
        <is>
          <t>SIGTUNA</t>
        </is>
      </c>
      <c r="G18" t="n">
        <v>12.9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Gulsparv
Gullviva</t>
        </is>
      </c>
      <c r="S18">
        <f>HYPERLINK("https://klasma.github.io/Logging_0191/artfynd/A 49269-2020 artfynd.xlsx", "A 49269-2020")</f>
        <v/>
      </c>
      <c r="T18">
        <f>HYPERLINK("https://klasma.github.io/Logging_0191/kartor/A 49269-2020 karta.png", "A 49269-2020")</f>
        <v/>
      </c>
      <c r="V18">
        <f>HYPERLINK("https://klasma.github.io/Logging_0191/klagomål/A 49269-2020 FSC-klagomål.docx", "A 49269-2020")</f>
        <v/>
      </c>
      <c r="W18">
        <f>HYPERLINK("https://klasma.github.io/Logging_0191/klagomålsmail/A 49269-2020 FSC-klagomål mail.docx", "A 49269-2020")</f>
        <v/>
      </c>
      <c r="X18">
        <f>HYPERLINK("https://klasma.github.io/Logging_0191/tillsyn/A 49269-2020 tillsynsbegäran.docx", "A 49269-2020")</f>
        <v/>
      </c>
      <c r="Y18">
        <f>HYPERLINK("https://klasma.github.io/Logging_0191/tillsynsmail/A 49269-2020 tillsynsbegäran mail.docx", "A 49269-2020")</f>
        <v/>
      </c>
      <c r="Z18">
        <f>HYPERLINK("https://klasma.github.io/Logging_0191/fåglar/A 49269-2020 prioriterade fågelarter.docx", "A 49269-2020")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45634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45634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45634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45634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45634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45634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45634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45634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45634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45634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45634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45634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45634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45634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45634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45634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45634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45634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45634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45634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45634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45634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45634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45634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45634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45634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45634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45634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45634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45634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45634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45634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45634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45634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45634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45634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45634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45634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45634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45634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45634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45634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45634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45634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45634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45634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45634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45634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45634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45634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45634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45634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45634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45634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45634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45634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45634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45634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45634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45634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45634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45634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45634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45634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45634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45634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45634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45634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45634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45634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45634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45634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45634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45634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45634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45634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45634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45634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45634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45634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45634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45634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45634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45634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45634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45634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45634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45634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45634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45634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45634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45634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45634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45634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45634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45634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45634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45634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45634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45634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45634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45634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45634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45634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45634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45634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45634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45634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45634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45634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45634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45634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45634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45634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45634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45634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45634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45634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45634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45634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45634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45634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45634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45634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45634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45634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45634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45634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45634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45634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45634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45634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45634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45634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45634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45634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45634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45634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45634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45634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45634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45634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45634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45634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45634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45634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45634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45634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45634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45634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45634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45634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45634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45634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45634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45634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45634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45634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45634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45634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45634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45634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45634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45634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45634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45634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45634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45634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45634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45634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45634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45634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45634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45634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45634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45634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45634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51848-2024</t>
        </is>
      </c>
      <c r="B196" s="1" t="n">
        <v>45607</v>
      </c>
      <c r="C196" s="1" t="n">
        <v>45634</v>
      </c>
      <c r="D196" t="inlineStr">
        <is>
          <t>STOCKHOLMS LÄN</t>
        </is>
      </c>
      <c r="E196" t="inlineStr">
        <is>
          <t>SIGTUNA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>
      <c r="A197" t="inlineStr">
        <is>
          <t>A 51902-2024</t>
        </is>
      </c>
      <c r="B197" s="1" t="n">
        <v>45607</v>
      </c>
      <c r="C197" s="1" t="n">
        <v>45634</v>
      </c>
      <c r="D197" t="inlineStr">
        <is>
          <t>STOCKHOLMS LÄN</t>
        </is>
      </c>
      <c r="E197" t="inlineStr">
        <is>
          <t>SIGTUNA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2024-12-08T15:19:01Z</dcterms:created>
  <dcterms:modified xmlns:dcterms="http://purl.org/dc/terms/" xmlns:xsi="http://www.w3.org/2001/XMLSchema-instance" xsi:type="dcterms:W3CDTF">2024-12-08T15:19:01Z</dcterms:modified>
</cp:coreProperties>
</file>
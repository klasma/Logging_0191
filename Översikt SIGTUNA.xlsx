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45692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45692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11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Björktrast
Blå kärrhök
Duvhök
Gulsparv
Rödvingetrast
Skrattmås
Grönsiska
Kungsfågel
Nattskärra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45692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9</v>
      </c>
      <c r="I4" t="n">
        <v>1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Grönfink
Tofsvipa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58658-2023</t>
        </is>
      </c>
      <c r="B5" s="1" t="n">
        <v>45251</v>
      </c>
      <c r="C5" s="1" t="n">
        <v>45692</v>
      </c>
      <c r="D5" t="inlineStr">
        <is>
          <t>STOCKHOLMS LÄN</t>
        </is>
      </c>
      <c r="E5" t="inlineStr">
        <is>
          <t>SIGTUNA</t>
        </is>
      </c>
      <c r="F5" t="inlineStr">
        <is>
          <t>Kommuner</t>
        </is>
      </c>
      <c r="G5" t="n">
        <v>4.8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Aspborre
Entita
Grön aspvedbock
Spillkråka
Granbarkgnagare
Myskbock
Skogsödla
Blåsippa
Gullviva</t>
        </is>
      </c>
      <c r="S5">
        <f>HYPERLINK("https://klasma.github.io/Logging_0191/artfynd/A 58658-2023 artfynd.xlsx", "A 58658-2023")</f>
        <v/>
      </c>
      <c r="T5">
        <f>HYPERLINK("https://klasma.github.io/Logging_0191/kartor/A 58658-2023 karta.png", "A 58658-2023")</f>
        <v/>
      </c>
      <c r="V5">
        <f>HYPERLINK("https://klasma.github.io/Logging_0191/klagomål/A 58658-2023 FSC-klagomål.docx", "A 58658-2023")</f>
        <v/>
      </c>
      <c r="W5">
        <f>HYPERLINK("https://klasma.github.io/Logging_0191/klagomålsmail/A 58658-2023 FSC-klagomål mail.docx", "A 58658-2023")</f>
        <v/>
      </c>
      <c r="X5">
        <f>HYPERLINK("https://klasma.github.io/Logging_0191/tillsyn/A 58658-2023 tillsynsbegäran.docx", "A 58658-2023")</f>
        <v/>
      </c>
      <c r="Y5">
        <f>HYPERLINK("https://klasma.github.io/Logging_0191/tillsynsmail/A 58658-2023 tillsynsbegäran mail.docx", "A 58658-2023")</f>
        <v/>
      </c>
      <c r="Z5">
        <f>HYPERLINK("https://klasma.github.io/Logging_0191/fåglar/A 58658-2023 prioriterade fågelarter.docx", "A 58658-2023")</f>
        <v/>
      </c>
    </row>
    <row r="6" ht="15" customHeight="1">
      <c r="A6" t="inlineStr">
        <is>
          <t>A 36440-2024</t>
        </is>
      </c>
      <c r="B6" s="1" t="n">
        <v>45535</v>
      </c>
      <c r="C6" s="1" t="n">
        <v>45692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7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Gulsparv
Talltita
Ärtsångare
Bronshjon
Granbarkgnagare
Grönsiska
Kungsfågel
Vanlig padda
Revlummer</t>
        </is>
      </c>
      <c r="S6">
        <f>HYPERLINK("https://klasma.github.io/Logging_0191/artfynd/A 36440-2024 artfynd.xlsx", "A 36440-2024")</f>
        <v/>
      </c>
      <c r="T6">
        <f>HYPERLINK("https://klasma.github.io/Logging_0191/kartor/A 36440-2024 karta.png", "A 36440-2024")</f>
        <v/>
      </c>
      <c r="V6">
        <f>HYPERLINK("https://klasma.github.io/Logging_0191/klagomål/A 36440-2024 FSC-klagomål.docx", "A 36440-2024")</f>
        <v/>
      </c>
      <c r="W6">
        <f>HYPERLINK("https://klasma.github.io/Logging_0191/klagomålsmail/A 36440-2024 FSC-klagomål mail.docx", "A 36440-2024")</f>
        <v/>
      </c>
      <c r="X6">
        <f>HYPERLINK("https://klasma.github.io/Logging_0191/tillsyn/A 36440-2024 tillsynsbegäran.docx", "A 36440-2024")</f>
        <v/>
      </c>
      <c r="Y6">
        <f>HYPERLINK("https://klasma.github.io/Logging_0191/tillsynsmail/A 36440-2024 tillsynsbegäran mail.docx", "A 36440-2024")</f>
        <v/>
      </c>
      <c r="Z6">
        <f>HYPERLINK("https://klasma.github.io/Logging_0191/fåglar/A 36440-2024 prioriterade fågelarter.docx", "A 36440-2024")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45692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6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Thomsons trägnagare
Vanlig flatbagge
Grönsiska
Järnsparv
Kungsfågel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45692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45692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45692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45692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45692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45692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45692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45692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45692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45692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45692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45692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45692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45692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45692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45692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45692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45692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45692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45692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45692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45692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45692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45692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45692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45692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45692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45692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45692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45692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45692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45692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45692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45692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45692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45692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45692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45692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45692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45692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45692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45692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45692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45692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45692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45692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45692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45692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45692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45692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45692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45692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45692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45692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45692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45692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45692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45692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45692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45692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45692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45692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45692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45692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45692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45692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45692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45692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45692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45692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45692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45692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45692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45692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45692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45692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45692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45692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45692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45692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45692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45692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45692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45692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45692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45692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45692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45692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45692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45692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45692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45692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45692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45692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45692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45692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45692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45692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45692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45692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45692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45692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45692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45692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45692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45692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45692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45692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45692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45692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45692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45692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45692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45692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45692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45692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45692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45692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45692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45692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45692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45692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45692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45692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45692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45692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45692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45692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45692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45692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45692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45692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45692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45692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45692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45692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45692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45692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45692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45692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45692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45692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45692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45692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45692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45692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45692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45692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45692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45692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45692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45692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45692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45692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45692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45692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45692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45692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45692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45692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45692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45692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45692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45692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45692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45692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45692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45692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45692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45692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45692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45692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45692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45692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45692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45692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45692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45692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45692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45692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45692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45692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45692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45692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45692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45692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45692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45692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45692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45692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45692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45692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45692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45692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45692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45692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45692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45692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45692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45692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45692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45692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45692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45692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45692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45692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3890-2025</t>
        </is>
      </c>
      <c r="B214" s="1" t="n">
        <v>45684</v>
      </c>
      <c r="C214" s="1" t="n">
        <v>45692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2025-02-04T15:58:27Z</dcterms:created>
  <dcterms:modified xmlns:dcterms="http://purl.org/dc/terms/" xmlns:xsi="http://www.w3.org/2001/XMLSchema-instance" xsi:type="dcterms:W3CDTF">2025-02-04T15:58:27Z</dcterms:modified>
</cp:coreProperties>
</file>
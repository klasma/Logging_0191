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45630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45630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45630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45630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45630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10000-2022</t>
        </is>
      </c>
      <c r="B7" s="1" t="n">
        <v>44621</v>
      </c>
      <c r="C7" s="1" t="n">
        <v>45630</v>
      </c>
      <c r="D7" t="inlineStr">
        <is>
          <t>STOCKHOLMS LÄN</t>
        </is>
      </c>
      <c r="E7" t="inlineStr">
        <is>
          <t>SIGTUNA</t>
        </is>
      </c>
      <c r="G7" t="n">
        <v>15.3</v>
      </c>
      <c r="H7" t="n">
        <v>7</v>
      </c>
      <c r="I7" t="n">
        <v>0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Tornseglare
Hussvala
Vinterhämpling
Fiskmås
Gulsparv
Ärtsångare
Grönsiska</t>
        </is>
      </c>
      <c r="S7">
        <f>HYPERLINK("https://klasma.github.io/Logging_0191/artfynd/A 10000-2022 artfynd.xlsx", "A 10000-2022")</f>
        <v/>
      </c>
      <c r="T7">
        <f>HYPERLINK("https://klasma.github.io/Logging_0191/kartor/A 10000-2022 karta.png", "A 10000-2022")</f>
        <v/>
      </c>
      <c r="V7">
        <f>HYPERLINK("https://klasma.github.io/Logging_0191/klagomål/A 10000-2022 FSC-klagomål.docx", "A 10000-2022")</f>
        <v/>
      </c>
      <c r="W7">
        <f>HYPERLINK("https://klasma.github.io/Logging_0191/klagomålsmail/A 10000-2022 FSC-klagomål mail.docx", "A 10000-2022")</f>
        <v/>
      </c>
      <c r="X7">
        <f>HYPERLINK("https://klasma.github.io/Logging_0191/tillsyn/A 10000-2022 tillsynsbegäran.docx", "A 10000-2022")</f>
        <v/>
      </c>
      <c r="Y7">
        <f>HYPERLINK("https://klasma.github.io/Logging_0191/tillsynsmail/A 10000-2022 tillsynsbegäran mail.docx", "A 10000-2022")</f>
        <v/>
      </c>
      <c r="Z7">
        <f>HYPERLINK("https://klasma.github.io/Logging_0191/fåglar/A 10000-2022 prioriterade fågelarter.docx", "A 10000-2022")</f>
        <v/>
      </c>
    </row>
    <row r="8" ht="15" customHeight="1">
      <c r="A8" t="inlineStr">
        <is>
          <t>A 27425-2023</t>
        </is>
      </c>
      <c r="B8" s="1" t="n">
        <v>45097</v>
      </c>
      <c r="C8" s="1" t="n">
        <v>45630</v>
      </c>
      <c r="D8" t="inlineStr">
        <is>
          <t>STOCKHOLMS LÄN</t>
        </is>
      </c>
      <c r="E8" t="inlineStr">
        <is>
          <t>SIGTUNA</t>
        </is>
      </c>
      <c r="F8" t="inlineStr">
        <is>
          <t>Allmännings- och besparingsskogar</t>
        </is>
      </c>
      <c r="G8" t="n">
        <v>9.300000000000001</v>
      </c>
      <c r="H8" t="n">
        <v>7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Gulsparv
Talltita
Grönsiska
Järnsparv
Kungsfågel
Skogsduva
Blåsippa</t>
        </is>
      </c>
      <c r="S8">
        <f>HYPERLINK("https://klasma.github.io/Logging_0191/artfynd/A 27425-2023 artfynd.xlsx", "A 27425-2023")</f>
        <v/>
      </c>
      <c r="T8">
        <f>HYPERLINK("https://klasma.github.io/Logging_0191/kartor/A 27425-2023 karta.png", "A 27425-2023")</f>
        <v/>
      </c>
      <c r="V8">
        <f>HYPERLINK("https://klasma.github.io/Logging_0191/klagomål/A 27425-2023 FSC-klagomål.docx", "A 27425-2023")</f>
        <v/>
      </c>
      <c r="W8">
        <f>HYPERLINK("https://klasma.github.io/Logging_0191/klagomålsmail/A 27425-2023 FSC-klagomål mail.docx", "A 27425-2023")</f>
        <v/>
      </c>
      <c r="X8">
        <f>HYPERLINK("https://klasma.github.io/Logging_0191/tillsyn/A 27425-2023 tillsynsbegäran.docx", "A 27425-2023")</f>
        <v/>
      </c>
      <c r="Y8">
        <f>HYPERLINK("https://klasma.github.io/Logging_0191/tillsynsmail/A 27425-2023 tillsynsbegäran mail.docx", "A 27425-2023")</f>
        <v/>
      </c>
      <c r="Z8">
        <f>HYPERLINK("https://klasma.github.io/Logging_0191/fåglar/A 27425-2023 prioriterade fågelarter.docx", "A 27425-2023")</f>
        <v/>
      </c>
    </row>
    <row r="9" ht="15" customHeight="1">
      <c r="A9" t="inlineStr">
        <is>
          <t>A 39613-2023</t>
        </is>
      </c>
      <c r="B9" s="1" t="n">
        <v>45163</v>
      </c>
      <c r="C9" s="1" t="n">
        <v>45630</v>
      </c>
      <c r="D9" t="inlineStr">
        <is>
          <t>STOCKHOLMS LÄN</t>
        </is>
      </c>
      <c r="E9" t="inlineStr">
        <is>
          <t>SIGTUNA</t>
        </is>
      </c>
      <c r="G9" t="n">
        <v>15.2</v>
      </c>
      <c r="H9" t="n">
        <v>5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Talltita
Kornig nållav
Grönsiska
Kungsfågel
Vanlig padda
Revlummer</t>
        </is>
      </c>
      <c r="S9">
        <f>HYPERLINK("https://klasma.github.io/Logging_0191/artfynd/A 39613-2023 artfynd.xlsx", "A 39613-2023")</f>
        <v/>
      </c>
      <c r="T9">
        <f>HYPERLINK("https://klasma.github.io/Logging_0191/kartor/A 39613-2023 karta.png", "A 39613-2023")</f>
        <v/>
      </c>
      <c r="V9">
        <f>HYPERLINK("https://klasma.github.io/Logging_0191/klagomål/A 39613-2023 FSC-klagomål.docx", "A 39613-2023")</f>
        <v/>
      </c>
      <c r="W9">
        <f>HYPERLINK("https://klasma.github.io/Logging_0191/klagomålsmail/A 39613-2023 FSC-klagomål mail.docx", "A 39613-2023")</f>
        <v/>
      </c>
      <c r="X9">
        <f>HYPERLINK("https://klasma.github.io/Logging_0191/tillsyn/A 39613-2023 tillsynsbegäran.docx", "A 39613-2023")</f>
        <v/>
      </c>
      <c r="Y9">
        <f>HYPERLINK("https://klasma.github.io/Logging_0191/tillsynsmail/A 39613-2023 tillsynsbegäran mail.docx", "A 39613-2023")</f>
        <v/>
      </c>
      <c r="Z9">
        <f>HYPERLINK("https://klasma.github.io/Logging_0191/fåglar/A 39613-2023 prioriterade fågelarter.docx", "A 39613-2023")</f>
        <v/>
      </c>
    </row>
    <row r="10" ht="15" customHeight="1">
      <c r="A10" t="inlineStr">
        <is>
          <t>A 39620-2023</t>
        </is>
      </c>
      <c r="B10" s="1" t="n">
        <v>45163</v>
      </c>
      <c r="C10" s="1" t="n">
        <v>45630</v>
      </c>
      <c r="D10" t="inlineStr">
        <is>
          <t>STOCKHOLMS LÄN</t>
        </is>
      </c>
      <c r="E10" t="inlineStr">
        <is>
          <t>SIGTUNA</t>
        </is>
      </c>
      <c r="G10" t="n">
        <v>2</v>
      </c>
      <c r="H10" t="n">
        <v>6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Grönfink
Duvhök
Talltita
Gröngöling
Grönsiska
Kungsfågel</t>
        </is>
      </c>
      <c r="S10">
        <f>HYPERLINK("https://klasma.github.io/Logging_0191/artfynd/A 39620-2023 artfynd.xlsx", "A 39620-2023")</f>
        <v/>
      </c>
      <c r="T10">
        <f>HYPERLINK("https://klasma.github.io/Logging_0191/kartor/A 39620-2023 karta.png", "A 39620-2023")</f>
        <v/>
      </c>
      <c r="V10">
        <f>HYPERLINK("https://klasma.github.io/Logging_0191/klagomål/A 39620-2023 FSC-klagomål.docx", "A 39620-2023")</f>
        <v/>
      </c>
      <c r="W10">
        <f>HYPERLINK("https://klasma.github.io/Logging_0191/klagomålsmail/A 39620-2023 FSC-klagomål mail.docx", "A 39620-2023")</f>
        <v/>
      </c>
      <c r="X10">
        <f>HYPERLINK("https://klasma.github.io/Logging_0191/tillsyn/A 39620-2023 tillsynsbegäran.docx", "A 39620-2023")</f>
        <v/>
      </c>
      <c r="Y10">
        <f>HYPERLINK("https://klasma.github.io/Logging_0191/tillsynsmail/A 39620-2023 tillsynsbegäran mail.docx", "A 39620-2023")</f>
        <v/>
      </c>
      <c r="Z10">
        <f>HYPERLINK("https://klasma.github.io/Logging_0191/fåglar/A 39620-2023 prioriterade fågelarter.docx", "A 39620-2023")</f>
        <v/>
      </c>
    </row>
    <row r="11" ht="15" customHeight="1">
      <c r="A11" t="inlineStr">
        <is>
          <t>A 61919-2021</t>
        </is>
      </c>
      <c r="B11" s="1" t="n">
        <v>44502</v>
      </c>
      <c r="C11" s="1" t="n">
        <v>45630</v>
      </c>
      <c r="D11" t="inlineStr">
        <is>
          <t>STOCKHOLMS LÄN</t>
        </is>
      </c>
      <c r="E11" t="inlineStr">
        <is>
          <t>SIGTUNA</t>
        </is>
      </c>
      <c r="G11" t="n">
        <v>4.7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Björksplintborre
Granbarkgnagare
Vågbandad barkbock
Enkelbeckasin
Blåsippa</t>
        </is>
      </c>
      <c r="S11">
        <f>HYPERLINK("https://klasma.github.io/Logging_0191/artfynd/A 61919-2021 artfynd.xlsx", "A 61919-2021")</f>
        <v/>
      </c>
      <c r="T11">
        <f>HYPERLINK("https://klasma.github.io/Logging_0191/kartor/A 61919-2021 karta.png", "A 61919-2021")</f>
        <v/>
      </c>
      <c r="V11">
        <f>HYPERLINK("https://klasma.github.io/Logging_0191/klagomål/A 61919-2021 FSC-klagomål.docx", "A 61919-2021")</f>
        <v/>
      </c>
      <c r="W11">
        <f>HYPERLINK("https://klasma.github.io/Logging_0191/klagomålsmail/A 61919-2021 FSC-klagomål mail.docx", "A 61919-2021")</f>
        <v/>
      </c>
      <c r="X11">
        <f>HYPERLINK("https://klasma.github.io/Logging_0191/tillsyn/A 61919-2021 tillsynsbegäran.docx", "A 61919-2021")</f>
        <v/>
      </c>
      <c r="Y11">
        <f>HYPERLINK("https://klasma.github.io/Logging_0191/tillsynsmail/A 61919-2021 tillsynsbegäran mail.docx", "A 61919-2021")</f>
        <v/>
      </c>
      <c r="Z11">
        <f>HYPERLINK("https://klasma.github.io/Logging_0191/fåglar/A 61919-2021 prioriterade fågelarter.docx", "A 61919-2021")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45630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45630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45630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45630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45630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45630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45630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45630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45630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45630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45630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45630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45630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45630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45630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45630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45630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45630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45630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45630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45630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45630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45630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45630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45630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45630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45630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45630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45630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45630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45630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45630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45630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45630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45630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45630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45630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45630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45630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45630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45630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45630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45630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45630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45630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45630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45630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45630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45630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45630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45630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45630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45630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45630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45630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45630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45630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45630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45630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45630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45630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45630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45630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45630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45630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45630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45630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45630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45630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45630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45630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45630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45630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45630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45630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45630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45630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45630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45630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45630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45630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45630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45630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45630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45630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45630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45630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45630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45630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45630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45630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45630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45630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45630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45630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45630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45630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45630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45630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45630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45630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45630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45630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45630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45630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45630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45630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45630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45630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45630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45630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45630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45630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45630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45630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45630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45630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45630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45630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45630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45630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45630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45630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45630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45630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45630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45630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45630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45630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45630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45630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45630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45630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45630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45630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45630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45630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45630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45630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45630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45630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45630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45630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45630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45630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45630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45630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45630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45630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45630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45630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45630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45630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45630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45630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45630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45630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45630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45630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45630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45630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45630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45630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45630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45630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45630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45630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45630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45630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45630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45630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45630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45630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45630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45630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45630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45630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45630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45630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45630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45630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45630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45630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45630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51848-2024</t>
        </is>
      </c>
      <c r="B196" s="1" t="n">
        <v>45607</v>
      </c>
      <c r="C196" s="1" t="n">
        <v>45630</v>
      </c>
      <c r="D196" t="inlineStr">
        <is>
          <t>STOCKHOLMS LÄN</t>
        </is>
      </c>
      <c r="E196" t="inlineStr">
        <is>
          <t>SIGTUNA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>
      <c r="A197" t="inlineStr">
        <is>
          <t>A 51902-2024</t>
        </is>
      </c>
      <c r="B197" s="1" t="n">
        <v>45607</v>
      </c>
      <c r="C197" s="1" t="n">
        <v>45630</v>
      </c>
      <c r="D197" t="inlineStr">
        <is>
          <t>STOCKHOLMS LÄN</t>
        </is>
      </c>
      <c r="E197" t="inlineStr">
        <is>
          <t>SIGTUNA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2024-12-04T15:12:18Z</dcterms:created>
  <dcterms:modified xmlns:dcterms="http://purl.org/dc/terms/" xmlns:xsi="http://www.w3.org/2001/XMLSchema-instance" xsi:type="dcterms:W3CDTF">2024-12-04T15:12:19Z</dcterms:modified>
</cp:coreProperties>
</file>
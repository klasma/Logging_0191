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46253</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46253</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46253</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46253</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46253</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46253</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46253</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46253</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46253</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46253</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46253</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46253</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46253</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46253</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46253</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46253</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46757-2023</t>
        </is>
      </c>
      <c r="B18" t="inlineStr">
        <is>
          <t>avverkningsanmälan</t>
        </is>
      </c>
      <c r="C18" t="inlineStr">
        <is>
          <t>Avverkning för annat ändamål</t>
        </is>
      </c>
      <c r="D18" s="1" t="n">
        <v>45198</v>
      </c>
      <c r="E18" s="1" t="n">
        <v>46253</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t="n">
        <v>0</v>
      </c>
      <c r="V18" s="2" t="inlineStr">
        <is>
          <t>Gulsparv</t>
        </is>
      </c>
      <c r="W18">
        <f>HYPERLINK("https://klasma.github.io/Logging_0191/artfynd/A 46757-2023 artfynd.xlsx", "A 46757-2023")</f>
        <v/>
      </c>
      <c r="X18">
        <f>HYPERLINK("https://klasma.github.io/Logging_0191/kartor/A 46757-2023 karta.png", "A 46757-2023")</f>
        <v/>
      </c>
      <c r="Y18">
        <f>HYPERLINK("https://klasma.github.io/Logging_0191/kartor_geotiff/A 46757-2023 georefererad karta.tif", "A 46757-2023")</f>
        <v/>
      </c>
      <c r="AA18">
        <f>HYPERLINK("https://klasma.github.io/Logging_0191/klagomål/A 46757-2023 FSC-klagomål.docx", "A 46757-2023")</f>
        <v/>
      </c>
      <c r="AB18">
        <f>HYPERLINK("https://klasma.github.io/Logging_0191/klagomålsmail/A 46757-2023 FSC-klagomål mail.docx", "A 46757-2023")</f>
        <v/>
      </c>
      <c r="AC18">
        <f>HYPERLINK("https://klasma.github.io/Logging_0191/tillsyn/A 46757-2023 tillsynsbegäran.docx", "A 46757-2023")</f>
        <v/>
      </c>
      <c r="AD18">
        <f>HYPERLINK("https://klasma.github.io/Logging_0191/tillsynsmail/A 46757-2023 tillsynsbegäran mail.docx", "A 46757-2023")</f>
        <v/>
      </c>
      <c r="AE18">
        <f>HYPERLINK("https://klasma.github.io/Logging_0191/fåglar/A 46757-2023 prioriterade fågelarter.docx", "A 46757-2023")</f>
        <v/>
      </c>
    </row>
    <row r="19" ht="15" customHeight="1">
      <c r="A19" t="inlineStr">
        <is>
          <t>A 33751-2024</t>
        </is>
      </c>
      <c r="B19" t="inlineStr">
        <is>
          <t>avverkningsanmälan</t>
        </is>
      </c>
      <c r="C19" t="inlineStr">
        <is>
          <t>Avverkning för annat ändamål</t>
        </is>
      </c>
      <c r="D19" s="1" t="n">
        <v>45520</v>
      </c>
      <c r="E19" s="1" t="n">
        <v>46253</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46253</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46253</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46253</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46253</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46253</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46253</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46253</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46253</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46253</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46253</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46253</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46253</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46253</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46253</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38276-2023</t>
        </is>
      </c>
      <c r="B34" t="inlineStr">
        <is>
          <t>avverkningsanmälan</t>
        </is>
      </c>
      <c r="C34" t="inlineStr">
        <is>
          <t>Föryngringsavverkning</t>
        </is>
      </c>
      <c r="D34" s="1" t="n">
        <v>45160</v>
      </c>
      <c r="E34" s="1" t="n">
        <v>46253</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t="n">
        <v>0</v>
      </c>
      <c r="V34" s="2" t="inlineStr"/>
    </row>
    <row r="35" ht="15" customHeight="1">
      <c r="A35" t="inlineStr">
        <is>
          <t>A 45233-2024</t>
        </is>
      </c>
      <c r="B35" t="inlineStr">
        <is>
          <t>avverkningsanmälan</t>
        </is>
      </c>
      <c r="C35" t="inlineStr">
        <is>
          <t>Föryngringsavverkning</t>
        </is>
      </c>
      <c r="D35" s="1" t="n">
        <v>45575</v>
      </c>
      <c r="E35" s="1" t="n">
        <v>46253</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20375-2023</t>
        </is>
      </c>
      <c r="B36" t="inlineStr">
        <is>
          <t>avverkningsanmälan</t>
        </is>
      </c>
      <c r="C36" t="inlineStr">
        <is>
          <t>Föryngringsavverkning</t>
        </is>
      </c>
      <c r="D36" s="1" t="n">
        <v>45054</v>
      </c>
      <c r="E36" s="1" t="n">
        <v>46253</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51770-2023</t>
        </is>
      </c>
      <c r="B37" t="inlineStr">
        <is>
          <t>avverkningsanmälan</t>
        </is>
      </c>
      <c r="C37" t="inlineStr">
        <is>
          <t>Föryngringsavverkning</t>
        </is>
      </c>
      <c r="D37" s="1" t="n">
        <v>45222</v>
      </c>
      <c r="E37" s="1" t="n">
        <v>46253</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59165-2022</t>
        </is>
      </c>
      <c r="B38" t="inlineStr">
        <is>
          <t>avverkningsanmälan</t>
        </is>
      </c>
      <c r="C38" t="inlineStr">
        <is>
          <t>Föryngringsavverkning</t>
        </is>
      </c>
      <c r="D38" s="1" t="n">
        <v>44904</v>
      </c>
      <c r="E38" s="1" t="n">
        <v>46253</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3673-2026</t>
        </is>
      </c>
      <c r="B39" t="inlineStr">
        <is>
          <t>avverkningsanmälan</t>
        </is>
      </c>
      <c r="C39" t="inlineStr">
        <is>
          <t>Föryngringsavverkning</t>
        </is>
      </c>
      <c r="D39" s="1" t="n">
        <v>46043</v>
      </c>
      <c r="E39" s="1" t="n">
        <v>46253</v>
      </c>
      <c r="F39" t="inlineStr">
        <is>
          <t>STOCKHOLMS LÄN</t>
        </is>
      </c>
      <c r="G39" t="inlineStr">
        <is>
          <t>SIGTUNA</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4788-2026</t>
        </is>
      </c>
      <c r="B40" t="inlineStr">
        <is>
          <t>avverkningsanmälan</t>
        </is>
      </c>
      <c r="C40" t="inlineStr">
        <is>
          <t>Föryngringsavverkning</t>
        </is>
      </c>
      <c r="D40" s="1" t="n">
        <v>46048</v>
      </c>
      <c r="E40" s="1" t="n">
        <v>46253</v>
      </c>
      <c r="F40" t="inlineStr">
        <is>
          <t>STOCKHOLMS LÄN</t>
        </is>
      </c>
      <c r="G40" t="inlineStr">
        <is>
          <t>SIGTUNA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20960-2023</t>
        </is>
      </c>
      <c r="B41" t="inlineStr">
        <is>
          <t>avverkningsanmälan</t>
        </is>
      </c>
      <c r="C41" t="inlineStr">
        <is>
          <t>Föryngringsavverkning</t>
        </is>
      </c>
      <c r="D41" s="1" t="n">
        <v>45061</v>
      </c>
      <c r="E41" s="1" t="n">
        <v>46253</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28851-2022</t>
        </is>
      </c>
      <c r="B42" t="inlineStr">
        <is>
          <t>avverkningsanmälan</t>
        </is>
      </c>
      <c r="C42" t="inlineStr">
        <is>
          <t>Föryngringsavverkning</t>
        </is>
      </c>
      <c r="D42" s="1" t="n">
        <v>44749</v>
      </c>
      <c r="E42" s="1" t="n">
        <v>46253</v>
      </c>
      <c r="F42" t="inlineStr">
        <is>
          <t>STOCKHOLMS LÄN</t>
        </is>
      </c>
      <c r="G42" t="inlineStr">
        <is>
          <t>SIGTUNA</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7229-2026</t>
        </is>
      </c>
      <c r="B43" t="inlineStr">
        <is>
          <t>avverkningsanmälan</t>
        </is>
      </c>
      <c r="C43" t="inlineStr">
        <is>
          <t>Föryngringsavverkning</t>
        </is>
      </c>
      <c r="D43" s="1" t="n">
        <v>46058</v>
      </c>
      <c r="E43" s="1" t="n">
        <v>46253</v>
      </c>
      <c r="F43" t="inlineStr">
        <is>
          <t>STOCKHOLMS LÄN</t>
        </is>
      </c>
      <c r="G43" t="inlineStr">
        <is>
          <t>SIGTUNA</t>
        </is>
      </c>
      <c r="I43" t="n">
        <v>3.8</v>
      </c>
      <c r="J43" t="n">
        <v>0</v>
      </c>
      <c r="K43" t="n">
        <v>0</v>
      </c>
      <c r="L43" t="n">
        <v>0</v>
      </c>
      <c r="M43" t="n">
        <v>0</v>
      </c>
      <c r="N43" t="n">
        <v>0</v>
      </c>
      <c r="O43" t="n">
        <v>0</v>
      </c>
      <c r="P43" t="n">
        <v>0</v>
      </c>
      <c r="Q43" t="n">
        <v>0</v>
      </c>
      <c r="R43" t="n">
        <v>0</v>
      </c>
      <c r="S43" t="n">
        <v>0</v>
      </c>
      <c r="T43" t="n">
        <v>0</v>
      </c>
      <c r="U43" t="n">
        <v>0</v>
      </c>
      <c r="V43" s="2" t="inlineStr"/>
    </row>
    <row r="44" ht="15" customHeight="1">
      <c r="A44" t="inlineStr">
        <is>
          <t>A 7833-2026</t>
        </is>
      </c>
      <c r="B44" t="inlineStr">
        <is>
          <t>avverkningsanmälan</t>
        </is>
      </c>
      <c r="C44" t="inlineStr">
        <is>
          <t>Föryngringsavverkning</t>
        </is>
      </c>
      <c r="D44" s="1" t="n">
        <v>46062</v>
      </c>
      <c r="E44" s="1" t="n">
        <v>46253</v>
      </c>
      <c r="F44" t="inlineStr">
        <is>
          <t>STOCKHOLMS LÄN</t>
        </is>
      </c>
      <c r="G44" t="inlineStr">
        <is>
          <t>SIGTUNA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42572-2024</t>
        </is>
      </c>
      <c r="B45" t="inlineStr">
        <is>
          <t>avverkningsanmälan</t>
        </is>
      </c>
      <c r="C45" t="inlineStr">
        <is>
          <t>Föryngringsavverkning</t>
        </is>
      </c>
      <c r="D45" s="1" t="n">
        <v>45565</v>
      </c>
      <c r="E45" s="1" t="n">
        <v>46253</v>
      </c>
      <c r="F45" t="inlineStr">
        <is>
          <t>STOCKHOLMS LÄN</t>
        </is>
      </c>
      <c r="G45" t="inlineStr">
        <is>
          <t>SIGTUNA</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56796-2022</t>
        </is>
      </c>
      <c r="B46" t="inlineStr">
        <is>
          <t>avverkningsanmälan</t>
        </is>
      </c>
      <c r="C46" t="inlineStr">
        <is>
          <t>Föryngringsavverkning</t>
        </is>
      </c>
      <c r="D46" s="1" t="n">
        <v>44894</v>
      </c>
      <c r="E46" s="1" t="n">
        <v>46253</v>
      </c>
      <c r="F46" t="inlineStr">
        <is>
          <t>STOCKHOLMS LÄN</t>
        </is>
      </c>
      <c r="G46" t="inlineStr">
        <is>
          <t>SIGTUNA</t>
        </is>
      </c>
      <c r="I46" t="n">
        <v>5.2</v>
      </c>
      <c r="J46" t="n">
        <v>0</v>
      </c>
      <c r="K46" t="n">
        <v>0</v>
      </c>
      <c r="L46" t="n">
        <v>0</v>
      </c>
      <c r="M46" t="n">
        <v>0</v>
      </c>
      <c r="N46" t="n">
        <v>0</v>
      </c>
      <c r="O46" t="n">
        <v>0</v>
      </c>
      <c r="P46" t="n">
        <v>0</v>
      </c>
      <c r="Q46" t="n">
        <v>0</v>
      </c>
      <c r="R46" t="n">
        <v>0</v>
      </c>
      <c r="S46" t="n">
        <v>0</v>
      </c>
      <c r="T46" t="n">
        <v>0</v>
      </c>
      <c r="U46" t="n">
        <v>0</v>
      </c>
      <c r="V46" s="2" t="inlineStr"/>
    </row>
    <row r="47" ht="15" customHeight="1">
      <c r="A47" t="inlineStr">
        <is>
          <t>A 12052-2026</t>
        </is>
      </c>
      <c r="B47" t="inlineStr">
        <is>
          <t>avverkningsanmälan</t>
        </is>
      </c>
      <c r="C47" t="inlineStr">
        <is>
          <t>Föryngringsavverkning</t>
        </is>
      </c>
      <c r="D47" s="1" t="n">
        <v>46086</v>
      </c>
      <c r="E47" s="1" t="n">
        <v>46253</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13662-2026</t>
        </is>
      </c>
      <c r="B48" t="inlineStr">
        <is>
          <t>avverkningsanmälan</t>
        </is>
      </c>
      <c r="C48" t="inlineStr">
        <is>
          <t>Föryngringsavverkning</t>
        </is>
      </c>
      <c r="D48" s="1" t="n">
        <v>46097</v>
      </c>
      <c r="E48" s="1" t="n">
        <v>46253</v>
      </c>
      <c r="F48" t="inlineStr">
        <is>
          <t>STOCKHOLMS LÄN</t>
        </is>
      </c>
      <c r="G48" t="inlineStr">
        <is>
          <t>SIGTUNA</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47392-2025</t>
        </is>
      </c>
      <c r="B49" t="inlineStr">
        <is>
          <t>avverkningsanmälan</t>
        </is>
      </c>
      <c r="C49" t="inlineStr">
        <is>
          <t>Föryngringsavverkning</t>
        </is>
      </c>
      <c r="D49" s="1" t="n">
        <v>45930</v>
      </c>
      <c r="E49" s="1" t="n">
        <v>46253</v>
      </c>
      <c r="F49" t="inlineStr">
        <is>
          <t>STOCKHOLMS LÄN</t>
        </is>
      </c>
      <c r="G49" t="inlineStr">
        <is>
          <t>SIGTUNA</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10790-2023</t>
        </is>
      </c>
      <c r="B50" t="inlineStr">
        <is>
          <t>avverkningsanmälan</t>
        </is>
      </c>
      <c r="C50" t="inlineStr">
        <is>
          <t>Föryngringsavverkning</t>
        </is>
      </c>
      <c r="D50" s="1" t="n">
        <v>44989</v>
      </c>
      <c r="E50" s="1" t="n">
        <v>46253</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28681-2025</t>
        </is>
      </c>
      <c r="B51" t="inlineStr">
        <is>
          <t>avverkningsanmälan</t>
        </is>
      </c>
      <c r="C51" t="inlineStr">
        <is>
          <t>Föryngringsavverkning</t>
        </is>
      </c>
      <c r="D51" s="1" t="n">
        <v>45819</v>
      </c>
      <c r="E51" s="1" t="n">
        <v>46253</v>
      </c>
      <c r="F51" t="inlineStr">
        <is>
          <t>STOCKHOLMS LÄN</t>
        </is>
      </c>
      <c r="G51" t="inlineStr">
        <is>
          <t>SIGTUNA</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25452-2023</t>
        </is>
      </c>
      <c r="B52" t="inlineStr">
        <is>
          <t>avverkningsanmälan</t>
        </is>
      </c>
      <c r="C52" t="inlineStr">
        <is>
          <t>Föryngringsavverkning</t>
        </is>
      </c>
      <c r="D52" s="1" t="n">
        <v>45089</v>
      </c>
      <c r="E52" s="1" t="n">
        <v>46253</v>
      </c>
      <c r="F52" t="inlineStr">
        <is>
          <t>STOCKHOLMS LÄN</t>
        </is>
      </c>
      <c r="G52" t="inlineStr">
        <is>
          <t>SIGTUNA</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25459-2023</t>
        </is>
      </c>
      <c r="B53" t="inlineStr">
        <is>
          <t>avverkningsanmälan</t>
        </is>
      </c>
      <c r="C53" t="inlineStr">
        <is>
          <t>Föryngringsavverkning</t>
        </is>
      </c>
      <c r="D53" s="1" t="n">
        <v>45089</v>
      </c>
      <c r="E53" s="1" t="n">
        <v>46253</v>
      </c>
      <c r="F53" t="inlineStr">
        <is>
          <t>STOCKHOLMS LÄN</t>
        </is>
      </c>
      <c r="G53" t="inlineStr">
        <is>
          <t>SIGTUNA</t>
        </is>
      </c>
      <c r="H53" t="inlineStr">
        <is>
          <t>Sveaskog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49916-2025</t>
        </is>
      </c>
      <c r="B54" t="inlineStr">
        <is>
          <t>avverkningsanmälan</t>
        </is>
      </c>
      <c r="C54" t="inlineStr">
        <is>
          <t>Föryngringsavverkning</t>
        </is>
      </c>
      <c r="D54" s="1" t="n">
        <v>45940</v>
      </c>
      <c r="E54" s="1" t="n">
        <v>46253</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61937-2021</t>
        </is>
      </c>
      <c r="B55" t="inlineStr">
        <is>
          <t>avverkningsanmälan</t>
        </is>
      </c>
      <c r="C55" t="inlineStr">
        <is>
          <t>Avverkning för annat ändamål</t>
        </is>
      </c>
      <c r="D55" s="1" t="n">
        <v>44502</v>
      </c>
      <c r="E55" s="1" t="n">
        <v>46253</v>
      </c>
      <c r="F55" t="inlineStr">
        <is>
          <t>STOCKHOLMS LÄN</t>
        </is>
      </c>
      <c r="G55" t="inlineStr">
        <is>
          <t>SIGTUNA</t>
        </is>
      </c>
      <c r="I55" t="n">
        <v>14.7</v>
      </c>
      <c r="J55" t="n">
        <v>0</v>
      </c>
      <c r="K55" t="n">
        <v>0</v>
      </c>
      <c r="L55" t="n">
        <v>0</v>
      </c>
      <c r="M55" t="n">
        <v>0</v>
      </c>
      <c r="N55" t="n">
        <v>0</v>
      </c>
      <c r="O55" t="n">
        <v>0</v>
      </c>
      <c r="P55" t="n">
        <v>0</v>
      </c>
      <c r="Q55" t="n">
        <v>0</v>
      </c>
      <c r="R55" t="n">
        <v>0</v>
      </c>
      <c r="S55" t="n">
        <v>0</v>
      </c>
      <c r="T55" t="n">
        <v>0</v>
      </c>
      <c r="U55" t="n">
        <v>0</v>
      </c>
      <c r="V55" s="2" t="inlineStr"/>
    </row>
    <row r="56" ht="15" customHeight="1">
      <c r="A56" t="inlineStr">
        <is>
          <t>A 60935-2023</t>
        </is>
      </c>
      <c r="B56" t="inlineStr">
        <is>
          <t>avverkningsanmälan</t>
        </is>
      </c>
      <c r="C56" t="inlineStr">
        <is>
          <t>Föryngringsavverkning</t>
        </is>
      </c>
      <c r="D56" s="1" t="n">
        <v>45261</v>
      </c>
      <c r="E56" s="1" t="n">
        <v>46253</v>
      </c>
      <c r="F56" t="inlineStr">
        <is>
          <t>STOCKHOLMS LÄN</t>
        </is>
      </c>
      <c r="G56" t="inlineStr">
        <is>
          <t>SIGTUNA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20957-2023</t>
        </is>
      </c>
      <c r="B57" t="inlineStr">
        <is>
          <t>avverkningsanmälan</t>
        </is>
      </c>
      <c r="C57" t="inlineStr">
        <is>
          <t>Föryngringsavverkning</t>
        </is>
      </c>
      <c r="D57" s="1" t="n">
        <v>45061</v>
      </c>
      <c r="E57" s="1" t="n">
        <v>46253</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43700-2023</t>
        </is>
      </c>
      <c r="B58" t="inlineStr">
        <is>
          <t>avverkningsanmälan</t>
        </is>
      </c>
      <c r="C58" t="inlineStr">
        <is>
          <t>Föryngringsavverkning</t>
        </is>
      </c>
      <c r="D58" s="1" t="n">
        <v>45187</v>
      </c>
      <c r="E58" s="1" t="n">
        <v>46253</v>
      </c>
      <c r="F58" t="inlineStr">
        <is>
          <t>STOCKHOLMS LÄN</t>
        </is>
      </c>
      <c r="G58" t="inlineStr">
        <is>
          <t>SIGTUNA</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72530-2021</t>
        </is>
      </c>
      <c r="B59" t="inlineStr">
        <is>
          <t>avverkningsanmälan</t>
        </is>
      </c>
      <c r="C59" t="inlineStr">
        <is>
          <t>Avverkning för annat ändamål</t>
        </is>
      </c>
      <c r="D59" s="1" t="n">
        <v>44546</v>
      </c>
      <c r="E59" s="1" t="n">
        <v>46253</v>
      </c>
      <c r="F59" t="inlineStr">
        <is>
          <t>STOCKHOLMS LÄN</t>
        </is>
      </c>
      <c r="G59" t="inlineStr">
        <is>
          <t>SIGTUNA</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74170-2021</t>
        </is>
      </c>
      <c r="B60" t="inlineStr">
        <is>
          <t>avverkningsanmälan</t>
        </is>
      </c>
      <c r="C60" t="inlineStr">
        <is>
          <t>Föryngringsavverkning</t>
        </is>
      </c>
      <c r="D60" s="1" t="n">
        <v>44557</v>
      </c>
      <c r="E60" s="1" t="n">
        <v>46253</v>
      </c>
      <c r="F60" t="inlineStr">
        <is>
          <t>STOCKHOLMS LÄN</t>
        </is>
      </c>
      <c r="G60" t="inlineStr">
        <is>
          <t>SIGTUNA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17320-2023</t>
        </is>
      </c>
      <c r="B61" t="inlineStr">
        <is>
          <t>avverkningsanmälan</t>
        </is>
      </c>
      <c r="C61" t="inlineStr">
        <is>
          <t>Föryngringsavverkning</t>
        </is>
      </c>
      <c r="D61" s="1" t="n">
        <v>45035</v>
      </c>
      <c r="E61" s="1" t="n">
        <v>46253</v>
      </c>
      <c r="F61" t="inlineStr">
        <is>
          <t>STOCKHOLMS LÄN</t>
        </is>
      </c>
      <c r="G61" t="inlineStr">
        <is>
          <t>SIGTUNA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9856-2024</t>
        </is>
      </c>
      <c r="B62" t="inlineStr">
        <is>
          <t>avverkningsanmälan</t>
        </is>
      </c>
      <c r="C62" t="inlineStr">
        <is>
          <t>Avverkning för annat ändamål</t>
        </is>
      </c>
      <c r="D62" s="1" t="n">
        <v>45363</v>
      </c>
      <c r="E62" s="1" t="n">
        <v>46253</v>
      </c>
      <c r="F62" t="inlineStr">
        <is>
          <t>STOCKHOLMS LÄN</t>
        </is>
      </c>
      <c r="G62" t="inlineStr">
        <is>
          <t>SIGTUNA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7214-2022</t>
        </is>
      </c>
      <c r="B63" t="inlineStr">
        <is>
          <t>avverkningsanmälan</t>
        </is>
      </c>
      <c r="C63" t="inlineStr">
        <is>
          <t>Föryngringsavverkning</t>
        </is>
      </c>
      <c r="D63" s="1" t="n">
        <v>44606</v>
      </c>
      <c r="E63" s="1" t="n">
        <v>46253</v>
      </c>
      <c r="F63" t="inlineStr">
        <is>
          <t>STOCKHOLMS LÄN</t>
        </is>
      </c>
      <c r="G63" t="inlineStr">
        <is>
          <t>SIGTUNA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45319-2023</t>
        </is>
      </c>
      <c r="B64" t="inlineStr">
        <is>
          <t>avverkningsanmälan</t>
        </is>
      </c>
      <c r="C64" t="inlineStr">
        <is>
          <t>Föryngringsavverkning</t>
        </is>
      </c>
      <c r="D64" s="1" t="n">
        <v>45191</v>
      </c>
      <c r="E64" s="1" t="n">
        <v>46253</v>
      </c>
      <c r="F64" t="inlineStr">
        <is>
          <t>STOCKHOLMS LÄN</t>
        </is>
      </c>
      <c r="G64" t="inlineStr">
        <is>
          <t>SIGTUNA</t>
        </is>
      </c>
      <c r="H64" t="inlineStr">
        <is>
          <t>Allmännings- och besparingsskogar</t>
        </is>
      </c>
      <c r="I64" t="n">
        <v>2.7</v>
      </c>
      <c r="J64" t="n">
        <v>0</v>
      </c>
      <c r="K64" t="n">
        <v>0</v>
      </c>
      <c r="L64" t="n">
        <v>0</v>
      </c>
      <c r="M64" t="n">
        <v>0</v>
      </c>
      <c r="N64" t="n">
        <v>0</v>
      </c>
      <c r="O64" t="n">
        <v>0</v>
      </c>
      <c r="P64" t="n">
        <v>0</v>
      </c>
      <c r="Q64" t="n">
        <v>0</v>
      </c>
      <c r="R64" t="n">
        <v>0</v>
      </c>
      <c r="S64" t="n">
        <v>0</v>
      </c>
      <c r="T64" t="n">
        <v>0</v>
      </c>
      <c r="U64" t="n">
        <v>0</v>
      </c>
      <c r="V64" s="2" t="inlineStr"/>
    </row>
    <row r="65" ht="15" customHeight="1">
      <c r="A65" t="inlineStr">
        <is>
          <t>A 60969-2025</t>
        </is>
      </c>
      <c r="B65" t="inlineStr">
        <is>
          <t>avverkningsanmälan</t>
        </is>
      </c>
      <c r="C65" t="inlineStr">
        <is>
          <t>Föryngringsavverkning</t>
        </is>
      </c>
      <c r="D65" s="1" t="n">
        <v>45996</v>
      </c>
      <c r="E65" s="1" t="n">
        <v>46253</v>
      </c>
      <c r="F65" t="inlineStr">
        <is>
          <t>STOCKHOLMS LÄN</t>
        </is>
      </c>
      <c r="G65" t="inlineStr">
        <is>
          <t>SIGTUNA</t>
        </is>
      </c>
      <c r="I65" t="n">
        <v>8.800000000000001</v>
      </c>
      <c r="J65" t="n">
        <v>0</v>
      </c>
      <c r="K65" t="n">
        <v>0</v>
      </c>
      <c r="L65" t="n">
        <v>0</v>
      </c>
      <c r="M65" t="n">
        <v>0</v>
      </c>
      <c r="N65" t="n">
        <v>0</v>
      </c>
      <c r="O65" t="n">
        <v>0</v>
      </c>
      <c r="P65" t="n">
        <v>0</v>
      </c>
      <c r="Q65" t="n">
        <v>0</v>
      </c>
      <c r="R65" t="n">
        <v>0</v>
      </c>
      <c r="S65" t="n">
        <v>0</v>
      </c>
      <c r="T65" t="n">
        <v>0</v>
      </c>
      <c r="U65" t="n">
        <v>0</v>
      </c>
      <c r="V65" s="2" t="inlineStr"/>
    </row>
    <row r="66" ht="15" customHeight="1">
      <c r="A66" t="inlineStr">
        <is>
          <t>A 60949-2025</t>
        </is>
      </c>
      <c r="B66" t="inlineStr">
        <is>
          <t>avverkningsanmälan</t>
        </is>
      </c>
      <c r="C66" t="inlineStr">
        <is>
          <t>Föryngringsavverkning</t>
        </is>
      </c>
      <c r="D66" s="1" t="n">
        <v>45996</v>
      </c>
      <c r="E66" s="1" t="n">
        <v>46253</v>
      </c>
      <c r="F66" t="inlineStr">
        <is>
          <t>STOCKHOLMS LÄN</t>
        </is>
      </c>
      <c r="G66" t="inlineStr">
        <is>
          <t>SIGTUNA</t>
        </is>
      </c>
      <c r="I66" t="n">
        <v>21.9</v>
      </c>
      <c r="J66" t="n">
        <v>0</v>
      </c>
      <c r="K66" t="n">
        <v>0</v>
      </c>
      <c r="L66" t="n">
        <v>0</v>
      </c>
      <c r="M66" t="n">
        <v>0</v>
      </c>
      <c r="N66" t="n">
        <v>0</v>
      </c>
      <c r="O66" t="n">
        <v>0</v>
      </c>
      <c r="P66" t="n">
        <v>0</v>
      </c>
      <c r="Q66" t="n">
        <v>0</v>
      </c>
      <c r="R66" t="n">
        <v>0</v>
      </c>
      <c r="S66" t="n">
        <v>0</v>
      </c>
      <c r="T66" t="n">
        <v>0</v>
      </c>
      <c r="U66" t="n">
        <v>0</v>
      </c>
      <c r="V66" s="2" t="inlineStr"/>
    </row>
    <row r="67" ht="15" customHeight="1">
      <c r="A67" t="inlineStr">
        <is>
          <t>A 17286-2022</t>
        </is>
      </c>
      <c r="B67" t="inlineStr">
        <is>
          <t>avverkningsanmälan</t>
        </is>
      </c>
      <c r="C67" t="inlineStr">
        <is>
          <t>Avverkning för annat ändamål</t>
        </is>
      </c>
      <c r="D67" s="1" t="n">
        <v>44678</v>
      </c>
      <c r="E67" s="1" t="n">
        <v>46253</v>
      </c>
      <c r="F67" t="inlineStr">
        <is>
          <t>STOCKHOLMS LÄN</t>
        </is>
      </c>
      <c r="G67" t="inlineStr">
        <is>
          <t>SIGTUNA</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22913-2026</t>
        </is>
      </c>
      <c r="B68" t="inlineStr">
        <is>
          <t>avverkningsanmälan</t>
        </is>
      </c>
      <c r="C68" t="inlineStr">
        <is>
          <t>Föryngringsavverkning</t>
        </is>
      </c>
      <c r="D68" s="1" t="n">
        <v>46159</v>
      </c>
      <c r="E68" s="1" t="n">
        <v>46253</v>
      </c>
      <c r="F68" t="inlineStr">
        <is>
          <t>STOCKHOLMS LÄN</t>
        </is>
      </c>
      <c r="G68" t="inlineStr">
        <is>
          <t>SIGTUNA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28752-2024</t>
        </is>
      </c>
      <c r="B69" t="inlineStr">
        <is>
          <t>avverkningsanmälan</t>
        </is>
      </c>
      <c r="C69" t="inlineStr">
        <is>
          <t>Föryngringsavverkning</t>
        </is>
      </c>
      <c r="D69" s="1" t="n">
        <v>45478</v>
      </c>
      <c r="E69" s="1" t="n">
        <v>46253</v>
      </c>
      <c r="F69" t="inlineStr">
        <is>
          <t>STOCKHOLMS LÄN</t>
        </is>
      </c>
      <c r="G69" t="inlineStr">
        <is>
          <t>SIGTUNA</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862-2022</t>
        </is>
      </c>
      <c r="B70" t="inlineStr">
        <is>
          <t>avverkningsanmälan</t>
        </is>
      </c>
      <c r="C70" t="inlineStr">
        <is>
          <t>Avverkning för annat ändamål</t>
        </is>
      </c>
      <c r="D70" s="1" t="n">
        <v>44571</v>
      </c>
      <c r="E70" s="1" t="n">
        <v>46253</v>
      </c>
      <c r="F70" t="inlineStr">
        <is>
          <t>STOCKHOLMS LÄN</t>
        </is>
      </c>
      <c r="G70" t="inlineStr">
        <is>
          <t>SIGTUNA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32424-2023</t>
        </is>
      </c>
      <c r="B71" t="inlineStr">
        <is>
          <t>avverkningsanmälan</t>
        </is>
      </c>
      <c r="C71" t="inlineStr">
        <is>
          <t>Föryngringsavverkning</t>
        </is>
      </c>
      <c r="D71" s="1" t="n">
        <v>45110</v>
      </c>
      <c r="E71" s="1" t="n">
        <v>46253</v>
      </c>
      <c r="F71" t="inlineStr">
        <is>
          <t>STOCKHOLMS LÄN</t>
        </is>
      </c>
      <c r="G71" t="inlineStr">
        <is>
          <t>SIGTUNA</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24636-2023</t>
        </is>
      </c>
      <c r="B72" t="inlineStr">
        <is>
          <t>avverkningsanmälan</t>
        </is>
      </c>
      <c r="C72" t="inlineStr">
        <is>
          <t>Föryngringsavverkning</t>
        </is>
      </c>
      <c r="D72" s="1" t="n">
        <v>45084</v>
      </c>
      <c r="E72" s="1" t="n">
        <v>46253</v>
      </c>
      <c r="F72" t="inlineStr">
        <is>
          <t>STOCKHOLMS LÄN</t>
        </is>
      </c>
      <c r="G72" t="inlineStr">
        <is>
          <t>SIGTUNA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32426-2023</t>
        </is>
      </c>
      <c r="B73" t="inlineStr">
        <is>
          <t>avverkningsanmälan</t>
        </is>
      </c>
      <c r="C73" t="inlineStr">
        <is>
          <t>Föryngringsavverkning</t>
        </is>
      </c>
      <c r="D73" s="1" t="n">
        <v>45110</v>
      </c>
      <c r="E73" s="1" t="n">
        <v>46253</v>
      </c>
      <c r="F73" t="inlineStr">
        <is>
          <t>STOCKHOLMS LÄN</t>
        </is>
      </c>
      <c r="G73" t="inlineStr">
        <is>
          <t>SIGTUNA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273-2025</t>
        </is>
      </c>
      <c r="B74" t="inlineStr">
        <is>
          <t>avverkningsanmälan</t>
        </is>
      </c>
      <c r="C74" t="inlineStr">
        <is>
          <t>Avverkning för annat ändamål</t>
        </is>
      </c>
      <c r="D74" s="1" t="n">
        <v>45653</v>
      </c>
      <c r="E74" s="1" t="n">
        <v>46253</v>
      </c>
      <c r="F74" t="inlineStr">
        <is>
          <t>STOCKHOLMS LÄN</t>
        </is>
      </c>
      <c r="G74" t="inlineStr">
        <is>
          <t>SIGTUNA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31695-2022</t>
        </is>
      </c>
      <c r="B75" t="inlineStr">
        <is>
          <t>avverkningsanmälan</t>
        </is>
      </c>
      <c r="C75" t="inlineStr">
        <is>
          <t>Avverkning för att bevara och utveckla /försöksver</t>
        </is>
      </c>
      <c r="D75" s="1" t="n">
        <v>44776</v>
      </c>
      <c r="E75" s="1" t="n">
        <v>46253</v>
      </c>
      <c r="F75" t="inlineStr">
        <is>
          <t>STOCKHOLMS LÄN</t>
        </is>
      </c>
      <c r="G75" t="inlineStr">
        <is>
          <t>SIGTUNA</t>
        </is>
      </c>
      <c r="H75" t="inlineStr">
        <is>
          <t>Kommuner</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59957-2023</t>
        </is>
      </c>
      <c r="B76" t="inlineStr">
        <is>
          <t>avverkningsanmälan</t>
        </is>
      </c>
      <c r="C76" t="inlineStr">
        <is>
          <t>Föryngringsavverkning</t>
        </is>
      </c>
      <c r="D76" s="1" t="n">
        <v>45257</v>
      </c>
      <c r="E76" s="1" t="n">
        <v>46253</v>
      </c>
      <c r="F76" t="inlineStr">
        <is>
          <t>STOCKHOLMS LÄN</t>
        </is>
      </c>
      <c r="G76" t="inlineStr">
        <is>
          <t>SIGTUNA</t>
        </is>
      </c>
      <c r="H76" t="inlineStr">
        <is>
          <t>Sveaskog</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2496-2024</t>
        </is>
      </c>
      <c r="B77" t="inlineStr">
        <is>
          <t>avverkningsanmälan</t>
        </is>
      </c>
      <c r="C77" t="inlineStr">
        <is>
          <t>Föryngringsavverkning</t>
        </is>
      </c>
      <c r="D77" s="1" t="n">
        <v>45313</v>
      </c>
      <c r="E77" s="1" t="n">
        <v>46253</v>
      </c>
      <c r="F77" t="inlineStr">
        <is>
          <t>STOCKHOLMS LÄN</t>
        </is>
      </c>
      <c r="G77" t="inlineStr">
        <is>
          <t>SIGTUNA</t>
        </is>
      </c>
      <c r="H77" t="inlineStr">
        <is>
          <t>Kommuner</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35966-2024</t>
        </is>
      </c>
      <c r="B78" t="inlineStr">
        <is>
          <t>avverkningsanmälan</t>
        </is>
      </c>
      <c r="C78" t="inlineStr">
        <is>
          <t>Föryngringsavverkning</t>
        </is>
      </c>
      <c r="D78" s="1" t="n">
        <v>45533</v>
      </c>
      <c r="E78" s="1" t="n">
        <v>46253</v>
      </c>
      <c r="F78" t="inlineStr">
        <is>
          <t>STOCKHOLMS LÄN</t>
        </is>
      </c>
      <c r="G78" t="inlineStr">
        <is>
          <t>SIGTUNA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36179-2022</t>
        </is>
      </c>
      <c r="B79" t="inlineStr">
        <is>
          <t>avverkningsanmälan</t>
        </is>
      </c>
      <c r="C79" t="inlineStr">
        <is>
          <t>Föryngringsavverkning</t>
        </is>
      </c>
      <c r="D79" s="1" t="n">
        <v>44803</v>
      </c>
      <c r="E79" s="1" t="n">
        <v>46253</v>
      </c>
      <c r="F79" t="inlineStr">
        <is>
          <t>STOCKHOLMS LÄN</t>
        </is>
      </c>
      <c r="G79" t="inlineStr">
        <is>
          <t>SIGTUNA</t>
        </is>
      </c>
      <c r="I79" t="n">
        <v>6.1</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46253</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6826-2025</t>
        </is>
      </c>
      <c r="B81" t="inlineStr">
        <is>
          <t>avverkningsanmälan</t>
        </is>
      </c>
      <c r="C81" t="inlineStr">
        <is>
          <t>Avverkning för annat ändamål</t>
        </is>
      </c>
      <c r="D81" s="1" t="n">
        <v>45700</v>
      </c>
      <c r="E81" s="1" t="n">
        <v>46253</v>
      </c>
      <c r="F81" t="inlineStr">
        <is>
          <t>STOCKHOLMS LÄN</t>
        </is>
      </c>
      <c r="G81" t="inlineStr">
        <is>
          <t>SIGTUNA</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11285-2023</t>
        </is>
      </c>
      <c r="B82" t="inlineStr">
        <is>
          <t>avverkningsanmälan</t>
        </is>
      </c>
      <c r="C82" t="inlineStr">
        <is>
          <t>Föryngringsavverkning</t>
        </is>
      </c>
      <c r="D82" s="1" t="n">
        <v>44992</v>
      </c>
      <c r="E82" s="1" t="n">
        <v>46253</v>
      </c>
      <c r="F82" t="inlineStr">
        <is>
          <t>STOCKHOLMS LÄN</t>
        </is>
      </c>
      <c r="G82" t="inlineStr">
        <is>
          <t>SIGTUNA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60922-2023</t>
        </is>
      </c>
      <c r="B83" t="inlineStr">
        <is>
          <t>avverkningsanmälan</t>
        </is>
      </c>
      <c r="C83" t="inlineStr">
        <is>
          <t>Föryngringsavverkning</t>
        </is>
      </c>
      <c r="D83" s="1" t="n">
        <v>45261</v>
      </c>
      <c r="E83" s="1" t="n">
        <v>46253</v>
      </c>
      <c r="F83" t="inlineStr">
        <is>
          <t>STOCKHOLMS LÄN</t>
        </is>
      </c>
      <c r="G83" t="inlineStr">
        <is>
          <t>SIGTUNA</t>
        </is>
      </c>
      <c r="I83" t="n">
        <v>7.6</v>
      </c>
      <c r="J83" t="n">
        <v>0</v>
      </c>
      <c r="K83" t="n">
        <v>0</v>
      </c>
      <c r="L83" t="n">
        <v>0</v>
      </c>
      <c r="M83" t="n">
        <v>0</v>
      </c>
      <c r="N83" t="n">
        <v>0</v>
      </c>
      <c r="O83" t="n">
        <v>0</v>
      </c>
      <c r="P83" t="n">
        <v>0</v>
      </c>
      <c r="Q83" t="n">
        <v>0</v>
      </c>
      <c r="R83" t="n">
        <v>0</v>
      </c>
      <c r="S83" t="n">
        <v>0</v>
      </c>
      <c r="T83" t="n">
        <v>0</v>
      </c>
      <c r="U83" t="n">
        <v>0</v>
      </c>
      <c r="V83" s="2" t="inlineStr"/>
    </row>
    <row r="84" ht="15" customHeight="1">
      <c r="A84" t="inlineStr">
        <is>
          <t>A 12931-2022</t>
        </is>
      </c>
      <c r="B84" t="inlineStr">
        <is>
          <t>avverkningsanmälan</t>
        </is>
      </c>
      <c r="C84" t="inlineStr">
        <is>
          <t>Föryngringsavverkning</t>
        </is>
      </c>
      <c r="D84" s="1" t="n">
        <v>44642</v>
      </c>
      <c r="E84" s="1" t="n">
        <v>46253</v>
      </c>
      <c r="F84" t="inlineStr">
        <is>
          <t>STOCKHOLMS LÄN</t>
        </is>
      </c>
      <c r="G84" t="inlineStr">
        <is>
          <t>SIGTUNA</t>
        </is>
      </c>
      <c r="H84" t="inlineStr">
        <is>
          <t>Kyrkan</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41693-2022</t>
        </is>
      </c>
      <c r="B85" t="inlineStr">
        <is>
          <t>avverkningsanmälan</t>
        </is>
      </c>
      <c r="C85" t="inlineStr">
        <is>
          <t>Föryngringsavverkning</t>
        </is>
      </c>
      <c r="D85" s="1" t="n">
        <v>44827</v>
      </c>
      <c r="E85" s="1" t="n">
        <v>46253</v>
      </c>
      <c r="F85" t="inlineStr">
        <is>
          <t>STOCKHOLMS LÄN</t>
        </is>
      </c>
      <c r="G85" t="inlineStr">
        <is>
          <t>SIGTUNA</t>
        </is>
      </c>
      <c r="H85" t="inlineStr">
        <is>
          <t>Allmännings- och besparingsskogar</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37392-2024</t>
        </is>
      </c>
      <c r="B86" t="inlineStr">
        <is>
          <t>avverkningsanmälan</t>
        </is>
      </c>
      <c r="C86" t="inlineStr">
        <is>
          <t>Föryngringsavverkning</t>
        </is>
      </c>
      <c r="D86" s="1" t="n">
        <v>45540</v>
      </c>
      <c r="E86" s="1" t="n">
        <v>46253</v>
      </c>
      <c r="F86" t="inlineStr">
        <is>
          <t>STOCKHOLMS LÄN</t>
        </is>
      </c>
      <c r="G86" t="inlineStr">
        <is>
          <t>SIGTUNA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38465-2023</t>
        </is>
      </c>
      <c r="B87" t="inlineStr">
        <is>
          <t>avverkningsanmälan</t>
        </is>
      </c>
      <c r="C87" t="inlineStr">
        <is>
          <t>Föryngringsavverkning</t>
        </is>
      </c>
      <c r="D87" s="1" t="n">
        <v>45162</v>
      </c>
      <c r="E87" s="1" t="n">
        <v>46253</v>
      </c>
      <c r="F87" t="inlineStr">
        <is>
          <t>STOCKHOLMS LÄN</t>
        </is>
      </c>
      <c r="G87" t="inlineStr">
        <is>
          <t>SIGTUNA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46253</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60865-2024</t>
        </is>
      </c>
      <c r="B89" t="inlineStr">
        <is>
          <t>avverkningsanmälan</t>
        </is>
      </c>
      <c r="C89" t="inlineStr">
        <is>
          <t>Föryngringsavverkning</t>
        </is>
      </c>
      <c r="D89" s="1" t="n">
        <v>45644</v>
      </c>
      <c r="E89" s="1" t="n">
        <v>46253</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9120-2025</t>
        </is>
      </c>
      <c r="B90" t="inlineStr">
        <is>
          <t>avverkningsanmälan</t>
        </is>
      </c>
      <c r="C90" t="inlineStr">
        <is>
          <t>Föryngringsavverkning</t>
        </is>
      </c>
      <c r="D90" s="1" t="n">
        <v>45713</v>
      </c>
      <c r="E90" s="1" t="n">
        <v>46253</v>
      </c>
      <c r="F90" t="inlineStr">
        <is>
          <t>STOCKHOLMS LÄN</t>
        </is>
      </c>
      <c r="G90" t="inlineStr">
        <is>
          <t>SIGTUNA</t>
        </is>
      </c>
      <c r="H90" t="inlineStr">
        <is>
          <t>Allmännings- och besparingsskogar</t>
        </is>
      </c>
      <c r="I90" t="n">
        <v>9.699999999999999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24967-2024</t>
        </is>
      </c>
      <c r="B91" t="inlineStr">
        <is>
          <t>avverkningsanmälan</t>
        </is>
      </c>
      <c r="C91" t="inlineStr">
        <is>
          <t>Föryngringsavverkning</t>
        </is>
      </c>
      <c r="D91" s="1" t="n">
        <v>45461</v>
      </c>
      <c r="E91" s="1" t="n">
        <v>46253</v>
      </c>
      <c r="F91" t="inlineStr">
        <is>
          <t>STOCKHOLMS LÄN</t>
        </is>
      </c>
      <c r="G91" t="inlineStr">
        <is>
          <t>SIGTUNA</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46253</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46253</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46253</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46253</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48375-2024</t>
        </is>
      </c>
      <c r="B96" t="inlineStr">
        <is>
          <t>avverkningsanmälan</t>
        </is>
      </c>
      <c r="C96" t="inlineStr">
        <is>
          <t>Föryngringsavverkning</t>
        </is>
      </c>
      <c r="D96" s="1" t="n">
        <v>45590</v>
      </c>
      <c r="E96" s="1" t="n">
        <v>46253</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46253</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35961-2024</t>
        </is>
      </c>
      <c r="B98" t="inlineStr">
        <is>
          <t>avverkningsanmälan</t>
        </is>
      </c>
      <c r="C98" t="inlineStr">
        <is>
          <t>Föryngringsavverkning</t>
        </is>
      </c>
      <c r="D98" s="1" t="n">
        <v>45533</v>
      </c>
      <c r="E98" s="1" t="n">
        <v>46253</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19031-2024</t>
        </is>
      </c>
      <c r="B99" t="inlineStr">
        <is>
          <t>avverkningsanmälan</t>
        </is>
      </c>
      <c r="C99" t="inlineStr">
        <is>
          <t>Avverkning för annat ändamål</t>
        </is>
      </c>
      <c r="D99" s="1" t="n">
        <v>45427</v>
      </c>
      <c r="E99" s="1" t="n">
        <v>46253</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24105-2025</t>
        </is>
      </c>
      <c r="B100" t="inlineStr">
        <is>
          <t>avverkningsanmälan</t>
        </is>
      </c>
      <c r="C100" t="inlineStr">
        <is>
          <t>Föryngringsavverkning</t>
        </is>
      </c>
      <c r="D100" s="1" t="n">
        <v>45796</v>
      </c>
      <c r="E100" s="1" t="n">
        <v>46253</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t="n">
        <v>0</v>
      </c>
      <c r="V100" s="2" t="inlineStr"/>
    </row>
    <row r="101">
      <c r="A101" t="inlineStr">
        <is>
          <t>A 60934-2023</t>
        </is>
      </c>
      <c r="B101" t="inlineStr">
        <is>
          <t>avverkningsanmälan</t>
        </is>
      </c>
      <c r="C101" t="inlineStr">
        <is>
          <t>Föryngringsavverkning</t>
        </is>
      </c>
      <c r="D101" s="1" t="n">
        <v>45261</v>
      </c>
      <c r="E101" s="1" t="n">
        <v>46253</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2026-08-19T01:50:20Z</dcterms:created>
  <dcterms:modified xmlns:dcterms="http://purl.org/dc/terms/" xmlns:xsi="http://www.w3.org/2001/XMLSchema-instance" xsi:type="dcterms:W3CDTF">2026-08-19T01:50:20Z</dcterms:modified>
</cp:coreProperties>
</file>
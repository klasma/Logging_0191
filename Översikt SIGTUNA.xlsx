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46323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46323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46323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46323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46323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46323</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46323</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46323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46323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46323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46323</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46323</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46323</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46323</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46323</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46323</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46323</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15452-2023</t>
        </is>
      </c>
      <c r="B20" t="inlineStr">
        <is>
          <t>avverkningsanmälan</t>
        </is>
      </c>
      <c r="C20" t="inlineStr">
        <is>
          <t>Avverkning för annat ändamål</t>
        </is>
      </c>
      <c r="D20" s="1" t="n">
        <v>45020</v>
      </c>
      <c r="E20" s="1" t="n">
        <v>46323</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46323</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37339-2026</t>
        </is>
      </c>
      <c r="B22" t="inlineStr">
        <is>
          <t>avverkningsanmälan</t>
        </is>
      </c>
      <c r="C22" t="inlineStr">
        <is>
          <t>Föryngringsavverkning</t>
        </is>
      </c>
      <c r="D22" s="1" t="n">
        <v>46275</v>
      </c>
      <c r="E22" s="1" t="n">
        <v>46323</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38287-2026</t>
        </is>
      </c>
      <c r="B23" t="inlineStr">
        <is>
          <t>avverkningsanmälan</t>
        </is>
      </c>
      <c r="C23" t="inlineStr">
        <is>
          <t>Föryngringsavverkning</t>
        </is>
      </c>
      <c r="D23" s="1" t="n">
        <v>46282</v>
      </c>
      <c r="E23" s="1" t="n">
        <v>46323</v>
      </c>
      <c r="F23" t="inlineStr">
        <is>
          <t>STOCKHOLMS LÄN</t>
        </is>
      </c>
      <c r="G23" t="inlineStr">
        <is>
          <t>SIGTUNA</t>
        </is>
      </c>
      <c r="I23" t="n">
        <v>4.1</v>
      </c>
      <c r="J23" t="n">
        <v>0</v>
      </c>
      <c r="K23" t="n">
        <v>0</v>
      </c>
      <c r="L23" t="n">
        <v>1</v>
      </c>
      <c r="M23" t="n">
        <v>0</v>
      </c>
      <c r="N23" t="n">
        <v>0</v>
      </c>
      <c r="O23" t="n">
        <v>0</v>
      </c>
      <c r="P23" t="n">
        <v>0</v>
      </c>
      <c r="Q23" t="n">
        <v>1</v>
      </c>
      <c r="R23" t="n">
        <v>0</v>
      </c>
      <c r="S23" t="n">
        <v>1</v>
      </c>
      <c r="T23" t="n">
        <v>1</v>
      </c>
      <c r="U23" t="n">
        <v>0</v>
      </c>
      <c r="V23" s="2" t="inlineStr">
        <is>
          <t>Motaggsvamp</t>
        </is>
      </c>
      <c r="W23">
        <f>HYPERLINK("https://klasma.github.io/Logging_0191/artfynd/A 38287-2026 artfynd.xlsx", "A 38287-2026")</f>
        <v/>
      </c>
      <c r="X23">
        <f>HYPERLINK("https://klasma.github.io/Logging_0191/kartor/A 38287-2026 karta.png", "A 38287-2026")</f>
        <v/>
      </c>
      <c r="Y23">
        <f>HYPERLINK("https://klasma.github.io/Logging_0191/kartor_geotiff/A 38287-2026 georefererad karta.tif", "A 38287-2026")</f>
        <v/>
      </c>
      <c r="AA23">
        <f>HYPERLINK("https://klasma.github.io/Logging_0191/klagomål/A 38287-2026 FSC-klagomål.docx", "A 38287-2026")</f>
        <v/>
      </c>
      <c r="AB23">
        <f>HYPERLINK("https://klasma.github.io/Logging_0191/klagomålsmail/A 38287-2026 FSC-klagomål mail.docx", "A 38287-2026")</f>
        <v/>
      </c>
      <c r="AC23">
        <f>HYPERLINK("https://klasma.github.io/Logging_0191/tillsyn/A 38287-2026 tillsynsbegäran.docx", "A 38287-2026")</f>
        <v/>
      </c>
      <c r="AD23">
        <f>HYPERLINK("https://klasma.github.io/Logging_0191/tillsynsmail/A 38287-2026 tillsynsbegäran mail.docx", "A 38287-2026")</f>
        <v/>
      </c>
    </row>
    <row r="24" ht="15" customHeight="1">
      <c r="A24" t="inlineStr">
        <is>
          <t>A 9750-2022</t>
        </is>
      </c>
      <c r="B24" t="inlineStr">
        <is>
          <t>avverkningsanmälan</t>
        </is>
      </c>
      <c r="C24" t="inlineStr">
        <is>
          <t>Föryngringsavverkning</t>
        </is>
      </c>
      <c r="D24" s="1" t="n">
        <v>44618</v>
      </c>
      <c r="E24" s="1" t="n">
        <v>46323</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46323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46323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46323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42572-2024</t>
        </is>
      </c>
      <c r="B28" t="inlineStr">
        <is>
          <t>avverkningsanmälan</t>
        </is>
      </c>
      <c r="C28" t="inlineStr">
        <is>
          <t>Föryngringsavverkning</t>
        </is>
      </c>
      <c r="D28" s="1" t="n">
        <v>45565</v>
      </c>
      <c r="E28" s="1" t="n">
        <v>46323</v>
      </c>
      <c r="F28" t="inlineStr">
        <is>
          <t>STOCKHOLMS LÄN</t>
        </is>
      </c>
      <c r="G28" t="inlineStr">
        <is>
          <t>SIGTUNA</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60865-2024</t>
        </is>
      </c>
      <c r="B29" t="inlineStr">
        <is>
          <t>avverkningsanmälan</t>
        </is>
      </c>
      <c r="C29" t="inlineStr">
        <is>
          <t>Föryngringsavverkning</t>
        </is>
      </c>
      <c r="D29" s="1" t="n">
        <v>45644</v>
      </c>
      <c r="E29" s="1" t="n">
        <v>46323</v>
      </c>
      <c r="F29" t="inlineStr">
        <is>
          <t>STOCKHOLMS LÄN</t>
        </is>
      </c>
      <c r="G29" t="inlineStr">
        <is>
          <t>SIGTUNA</t>
        </is>
      </c>
      <c r="I29" t="n">
        <v>0.2</v>
      </c>
      <c r="J29" t="n">
        <v>0</v>
      </c>
      <c r="K29" t="n">
        <v>0</v>
      </c>
      <c r="L29" t="n">
        <v>0</v>
      </c>
      <c r="M29" t="n">
        <v>0</v>
      </c>
      <c r="N29" t="n">
        <v>0</v>
      </c>
      <c r="O29" t="n">
        <v>0</v>
      </c>
      <c r="P29" t="n">
        <v>0</v>
      </c>
      <c r="Q29" t="n">
        <v>0</v>
      </c>
      <c r="R29" t="n">
        <v>0</v>
      </c>
      <c r="S29" t="n">
        <v>0</v>
      </c>
      <c r="T29" t="n">
        <v>0</v>
      </c>
      <c r="U29" t="n">
        <v>0</v>
      </c>
      <c r="V29" s="2" t="inlineStr"/>
    </row>
    <row r="30" ht="15" customHeight="1">
      <c r="A30" t="inlineStr">
        <is>
          <t>A 56796-2022</t>
        </is>
      </c>
      <c r="B30" t="inlineStr">
        <is>
          <t>avverkningsanmälan</t>
        </is>
      </c>
      <c r="C30" t="inlineStr">
        <is>
          <t>Föryngringsavverkning</t>
        </is>
      </c>
      <c r="D30" s="1" t="n">
        <v>44894</v>
      </c>
      <c r="E30" s="1" t="n">
        <v>46323</v>
      </c>
      <c r="F30" t="inlineStr">
        <is>
          <t>STOCKHOLMS LÄN</t>
        </is>
      </c>
      <c r="G30" t="inlineStr">
        <is>
          <t>SIGTUNA</t>
        </is>
      </c>
      <c r="I30" t="n">
        <v>5.2</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46323</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46323</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5142-2024</t>
        </is>
      </c>
      <c r="B33" t="inlineStr">
        <is>
          <t>avverkningsanmälan</t>
        </is>
      </c>
      <c r="C33" t="inlineStr">
        <is>
          <t>Avverkning för annat ändamål</t>
        </is>
      </c>
      <c r="D33" s="1" t="n">
        <v>45330</v>
      </c>
      <c r="E33" s="1" t="n">
        <v>46323</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9120-2025</t>
        </is>
      </c>
      <c r="B34" t="inlineStr">
        <is>
          <t>avverkningsanmälan</t>
        </is>
      </c>
      <c r="C34" t="inlineStr">
        <is>
          <t>Föryngringsavverkning</t>
        </is>
      </c>
      <c r="D34" s="1" t="n">
        <v>45713</v>
      </c>
      <c r="E34" s="1" t="n">
        <v>46323</v>
      </c>
      <c r="F34" t="inlineStr">
        <is>
          <t>STOCKHOLMS LÄN</t>
        </is>
      </c>
      <c r="G34" t="inlineStr">
        <is>
          <t>SIGTUNA</t>
        </is>
      </c>
      <c r="H34" t="inlineStr">
        <is>
          <t>Allmännings- och besparingsskogar</t>
        </is>
      </c>
      <c r="I34" t="n">
        <v>9.699999999999999</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46323</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10790-2023</t>
        </is>
      </c>
      <c r="B36" t="inlineStr">
        <is>
          <t>avverkningsanmälan</t>
        </is>
      </c>
      <c r="C36" t="inlineStr">
        <is>
          <t>Föryngringsavverkning</t>
        </is>
      </c>
      <c r="D36" s="1" t="n">
        <v>44989</v>
      </c>
      <c r="E36" s="1" t="n">
        <v>46323</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25452-2023</t>
        </is>
      </c>
      <c r="B37" t="inlineStr">
        <is>
          <t>avverkningsanmälan</t>
        </is>
      </c>
      <c r="C37" t="inlineStr">
        <is>
          <t>Föryngringsavverkning</t>
        </is>
      </c>
      <c r="D37" s="1" t="n">
        <v>45089</v>
      </c>
      <c r="E37" s="1" t="n">
        <v>46323</v>
      </c>
      <c r="F37" t="inlineStr">
        <is>
          <t>STOCKHOLMS LÄN</t>
        </is>
      </c>
      <c r="G37" t="inlineStr">
        <is>
          <t>SIGTUNA</t>
        </is>
      </c>
      <c r="H37" t="inlineStr">
        <is>
          <t>Sveaskog</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25459-2023</t>
        </is>
      </c>
      <c r="B38" t="inlineStr">
        <is>
          <t>avverkningsanmälan</t>
        </is>
      </c>
      <c r="C38" t="inlineStr">
        <is>
          <t>Föryngringsavverkning</t>
        </is>
      </c>
      <c r="D38" s="1" t="n">
        <v>45089</v>
      </c>
      <c r="E38" s="1" t="n">
        <v>46323</v>
      </c>
      <c r="F38" t="inlineStr">
        <is>
          <t>STOCKHOLMS LÄN</t>
        </is>
      </c>
      <c r="G38" t="inlineStr">
        <is>
          <t>SIGTUNA</t>
        </is>
      </c>
      <c r="H38" t="inlineStr">
        <is>
          <t>Sveaskog</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61937-2021</t>
        </is>
      </c>
      <c r="B39" t="inlineStr">
        <is>
          <t>avverkningsanmälan</t>
        </is>
      </c>
      <c r="C39" t="inlineStr">
        <is>
          <t>Avverkning för annat ändamål</t>
        </is>
      </c>
      <c r="D39" s="1" t="n">
        <v>44502</v>
      </c>
      <c r="E39" s="1" t="n">
        <v>46323</v>
      </c>
      <c r="F39" t="inlineStr">
        <is>
          <t>STOCKHOLMS LÄN</t>
        </is>
      </c>
      <c r="G39" t="inlineStr">
        <is>
          <t>SIGTUNA</t>
        </is>
      </c>
      <c r="I39" t="n">
        <v>14.7</v>
      </c>
      <c r="J39" t="n">
        <v>0</v>
      </c>
      <c r="K39" t="n">
        <v>0</v>
      </c>
      <c r="L39" t="n">
        <v>0</v>
      </c>
      <c r="M39" t="n">
        <v>0</v>
      </c>
      <c r="N39" t="n">
        <v>0</v>
      </c>
      <c r="O39" t="n">
        <v>0</v>
      </c>
      <c r="P39" t="n">
        <v>0</v>
      </c>
      <c r="Q39" t="n">
        <v>0</v>
      </c>
      <c r="R39" t="n">
        <v>0</v>
      </c>
      <c r="S39" t="n">
        <v>0</v>
      </c>
      <c r="T39" t="n">
        <v>0</v>
      </c>
      <c r="U39" t="n">
        <v>0</v>
      </c>
      <c r="V39" s="2" t="inlineStr"/>
    </row>
    <row r="40" ht="15" customHeight="1">
      <c r="A40" t="inlineStr">
        <is>
          <t>A 59168-2022</t>
        </is>
      </c>
      <c r="B40" t="inlineStr">
        <is>
          <t>avverkningsanmälan</t>
        </is>
      </c>
      <c r="C40" t="inlineStr">
        <is>
          <t>Föryngringsavverkning</t>
        </is>
      </c>
      <c r="D40" s="1" t="n">
        <v>44904</v>
      </c>
      <c r="E40" s="1" t="n">
        <v>46323</v>
      </c>
      <c r="F40" t="inlineStr">
        <is>
          <t>STOCKHOLMS LÄN</t>
        </is>
      </c>
      <c r="G40" t="inlineStr">
        <is>
          <t>SIGTUNA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60935-2023</t>
        </is>
      </c>
      <c r="B41" t="inlineStr">
        <is>
          <t>avverkningsanmälan</t>
        </is>
      </c>
      <c r="C41" t="inlineStr">
        <is>
          <t>Föryngringsavverkning</t>
        </is>
      </c>
      <c r="D41" s="1" t="n">
        <v>45261</v>
      </c>
      <c r="E41" s="1" t="n">
        <v>46323</v>
      </c>
      <c r="F41" t="inlineStr">
        <is>
          <t>STOCKHOLMS LÄN</t>
        </is>
      </c>
      <c r="G41" t="inlineStr">
        <is>
          <t>SIGTUNA</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41702-2023</t>
        </is>
      </c>
      <c r="B42" t="inlineStr">
        <is>
          <t>avverkningsanmälan</t>
        </is>
      </c>
      <c r="C42" t="inlineStr">
        <is>
          <t>Föryngringsavverkning</t>
        </is>
      </c>
      <c r="D42" s="1" t="n">
        <v>45176</v>
      </c>
      <c r="E42" s="1" t="n">
        <v>46323</v>
      </c>
      <c r="F42" t="inlineStr">
        <is>
          <t>STOCKHOLMS LÄN</t>
        </is>
      </c>
      <c r="G42" t="inlineStr">
        <is>
          <t>SIGTUNA</t>
        </is>
      </c>
      <c r="H42" t="inlineStr">
        <is>
          <t>Allmännings- och besparingsskogar</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43158-2024</t>
        </is>
      </c>
      <c r="B43" t="inlineStr">
        <is>
          <t>avverkningsanmälan</t>
        </is>
      </c>
      <c r="C43" t="inlineStr">
        <is>
          <t>Föryngringsavverkning</t>
        </is>
      </c>
      <c r="D43" s="1" t="n">
        <v>45567</v>
      </c>
      <c r="E43" s="1" t="n">
        <v>46323</v>
      </c>
      <c r="F43" t="inlineStr">
        <is>
          <t>STOCKHOLMS LÄN</t>
        </is>
      </c>
      <c r="G43" t="inlineStr">
        <is>
          <t>SIGTUNA</t>
        </is>
      </c>
      <c r="I43" t="n">
        <v>5</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46323</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24946-2024</t>
        </is>
      </c>
      <c r="B45" t="inlineStr">
        <is>
          <t>avverkningsanmälan</t>
        </is>
      </c>
      <c r="C45" t="inlineStr">
        <is>
          <t>Föryngringsavverkning</t>
        </is>
      </c>
      <c r="D45" s="1" t="n">
        <v>45461</v>
      </c>
      <c r="E45" s="1" t="n">
        <v>46323</v>
      </c>
      <c r="F45" t="inlineStr">
        <is>
          <t>STOCKHOLMS LÄN</t>
        </is>
      </c>
      <c r="G45" t="inlineStr">
        <is>
          <t>SIGTUNA</t>
        </is>
      </c>
      <c r="I45" t="n">
        <v>12.5</v>
      </c>
      <c r="J45" t="n">
        <v>0</v>
      </c>
      <c r="K45" t="n">
        <v>0</v>
      </c>
      <c r="L45" t="n">
        <v>0</v>
      </c>
      <c r="M45" t="n">
        <v>0</v>
      </c>
      <c r="N45" t="n">
        <v>0</v>
      </c>
      <c r="O45" t="n">
        <v>0</v>
      </c>
      <c r="P45" t="n">
        <v>0</v>
      </c>
      <c r="Q45" t="n">
        <v>0</v>
      </c>
      <c r="R45" t="n">
        <v>0</v>
      </c>
      <c r="S45" t="n">
        <v>0</v>
      </c>
      <c r="T45" t="n">
        <v>0</v>
      </c>
      <c r="U45" t="n">
        <v>0</v>
      </c>
      <c r="V45" s="2" t="inlineStr"/>
    </row>
    <row r="46" ht="15" customHeight="1">
      <c r="A46" t="inlineStr">
        <is>
          <t>A 3890-2025</t>
        </is>
      </c>
      <c r="B46" t="inlineStr">
        <is>
          <t>avverkningsanmälan</t>
        </is>
      </c>
      <c r="C46" t="inlineStr">
        <is>
          <t>Föryngringsavverkning</t>
        </is>
      </c>
      <c r="D46" s="1" t="n">
        <v>45684</v>
      </c>
      <c r="E46" s="1" t="n">
        <v>46323</v>
      </c>
      <c r="F46" t="inlineStr">
        <is>
          <t>STOCKHOLMS LÄN</t>
        </is>
      </c>
      <c r="G46" t="inlineStr">
        <is>
          <t>SIGTUNA</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20957-2023</t>
        </is>
      </c>
      <c r="B47" t="inlineStr">
        <is>
          <t>avverkningsanmälan</t>
        </is>
      </c>
      <c r="C47" t="inlineStr">
        <is>
          <t>Föryngringsavverkning</t>
        </is>
      </c>
      <c r="D47" s="1" t="n">
        <v>45061</v>
      </c>
      <c r="E47" s="1" t="n">
        <v>46323</v>
      </c>
      <c r="F47" t="inlineStr">
        <is>
          <t>STOCKHOLMS LÄN</t>
        </is>
      </c>
      <c r="G47" t="inlineStr">
        <is>
          <t>SIGTUNA</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38276-2023</t>
        </is>
      </c>
      <c r="B48" t="inlineStr">
        <is>
          <t>avverkningsanmälan</t>
        </is>
      </c>
      <c r="C48" t="inlineStr">
        <is>
          <t>Föryngringsavverkning</t>
        </is>
      </c>
      <c r="D48" s="1" t="n">
        <v>45160</v>
      </c>
      <c r="E48" s="1" t="n">
        <v>46323</v>
      </c>
      <c r="F48" t="inlineStr">
        <is>
          <t>STOCKHOLMS LÄN</t>
        </is>
      </c>
      <c r="G48" t="inlineStr">
        <is>
          <t>SIGTUNA</t>
        </is>
      </c>
      <c r="I48" t="n">
        <v>18.1</v>
      </c>
      <c r="J48" t="n">
        <v>0</v>
      </c>
      <c r="K48" t="n">
        <v>0</v>
      </c>
      <c r="L48" t="n">
        <v>0</v>
      </c>
      <c r="M48" t="n">
        <v>0</v>
      </c>
      <c r="N48" t="n">
        <v>0</v>
      </c>
      <c r="O48" t="n">
        <v>0</v>
      </c>
      <c r="P48" t="n">
        <v>0</v>
      </c>
      <c r="Q48" t="n">
        <v>0</v>
      </c>
      <c r="R48" t="n">
        <v>0</v>
      </c>
      <c r="S48" t="n">
        <v>0</v>
      </c>
      <c r="T48" t="n">
        <v>0</v>
      </c>
      <c r="U48" t="n">
        <v>0</v>
      </c>
      <c r="V48" s="2" t="inlineStr"/>
    </row>
    <row r="49" ht="15" customHeight="1">
      <c r="A49" t="inlineStr">
        <is>
          <t>A 45233-2024</t>
        </is>
      </c>
      <c r="B49" t="inlineStr">
        <is>
          <t>avverkningsanmälan</t>
        </is>
      </c>
      <c r="C49" t="inlineStr">
        <is>
          <t>Föryngringsavverkning</t>
        </is>
      </c>
      <c r="D49" s="1" t="n">
        <v>45575</v>
      </c>
      <c r="E49" s="1" t="n">
        <v>46323</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43700-2023</t>
        </is>
      </c>
      <c r="B50" t="inlineStr">
        <is>
          <t>avverkningsanmälan</t>
        </is>
      </c>
      <c r="C50" t="inlineStr">
        <is>
          <t>Föryngringsavverkning</t>
        </is>
      </c>
      <c r="D50" s="1" t="n">
        <v>45187</v>
      </c>
      <c r="E50" s="1" t="n">
        <v>46323</v>
      </c>
      <c r="F50" t="inlineStr">
        <is>
          <t>STOCKHOLMS LÄN</t>
        </is>
      </c>
      <c r="G50" t="inlineStr">
        <is>
          <t>SIGTUNA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49916-2025</t>
        </is>
      </c>
      <c r="B51" t="inlineStr">
        <is>
          <t>avverkningsanmälan</t>
        </is>
      </c>
      <c r="C51" t="inlineStr">
        <is>
          <t>Föryngringsavverkning</t>
        </is>
      </c>
      <c r="D51" s="1" t="n">
        <v>45940</v>
      </c>
      <c r="E51" s="1" t="n">
        <v>46323</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21513-2025</t>
        </is>
      </c>
      <c r="B52" t="inlineStr">
        <is>
          <t>avverkningsanmälan</t>
        </is>
      </c>
      <c r="C52" t="inlineStr">
        <is>
          <t>Föryngringsavverkning</t>
        </is>
      </c>
      <c r="D52" s="1" t="n">
        <v>45782</v>
      </c>
      <c r="E52" s="1" t="n">
        <v>46323</v>
      </c>
      <c r="F52" t="inlineStr">
        <is>
          <t>STOCKHOLMS LÄN</t>
        </is>
      </c>
      <c r="G52" t="inlineStr">
        <is>
          <t>SIGTUNA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20375-2023</t>
        </is>
      </c>
      <c r="B53" t="inlineStr">
        <is>
          <t>avverkningsanmälan</t>
        </is>
      </c>
      <c r="C53" t="inlineStr">
        <is>
          <t>Föryngringsavverkning</t>
        </is>
      </c>
      <c r="D53" s="1" t="n">
        <v>45054</v>
      </c>
      <c r="E53" s="1" t="n">
        <v>46323</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72530-2021</t>
        </is>
      </c>
      <c r="B54" t="inlineStr">
        <is>
          <t>avverkningsanmälan</t>
        </is>
      </c>
      <c r="C54" t="inlineStr">
        <is>
          <t>Avverkning för annat ändamål</t>
        </is>
      </c>
      <c r="D54" s="1" t="n">
        <v>44546</v>
      </c>
      <c r="E54" s="1" t="n">
        <v>46323</v>
      </c>
      <c r="F54" t="inlineStr">
        <is>
          <t>STOCKHOLMS LÄN</t>
        </is>
      </c>
      <c r="G54" t="inlineStr">
        <is>
          <t>SIGTUNA</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51770-2023</t>
        </is>
      </c>
      <c r="B55" t="inlineStr">
        <is>
          <t>avverkningsanmälan</t>
        </is>
      </c>
      <c r="C55" t="inlineStr">
        <is>
          <t>Föryngringsavverkning</t>
        </is>
      </c>
      <c r="D55" s="1" t="n">
        <v>45222</v>
      </c>
      <c r="E55" s="1" t="n">
        <v>46323</v>
      </c>
      <c r="F55" t="inlineStr">
        <is>
          <t>STOCKHOLMS LÄN</t>
        </is>
      </c>
      <c r="G55" t="inlineStr">
        <is>
          <t>SIGTUNA</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74170-2021</t>
        </is>
      </c>
      <c r="B56" t="inlineStr">
        <is>
          <t>avverkningsanmälan</t>
        </is>
      </c>
      <c r="C56" t="inlineStr">
        <is>
          <t>Föryngringsavverkning</t>
        </is>
      </c>
      <c r="D56" s="1" t="n">
        <v>44557</v>
      </c>
      <c r="E56" s="1" t="n">
        <v>46323</v>
      </c>
      <c r="F56" t="inlineStr">
        <is>
          <t>STOCKHOLMS LÄN</t>
        </is>
      </c>
      <c r="G56" t="inlineStr">
        <is>
          <t>SIGTUNA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59165-2022</t>
        </is>
      </c>
      <c r="B57" t="inlineStr">
        <is>
          <t>avverkningsanmälan</t>
        </is>
      </c>
      <c r="C57" t="inlineStr">
        <is>
          <t>Föryngringsavverkning</t>
        </is>
      </c>
      <c r="D57" s="1" t="n">
        <v>44904</v>
      </c>
      <c r="E57" s="1" t="n">
        <v>46323</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46323</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20960-2023</t>
        </is>
      </c>
      <c r="B59" t="inlineStr">
        <is>
          <t>avverkningsanmälan</t>
        </is>
      </c>
      <c r="C59" t="inlineStr">
        <is>
          <t>Föryngringsavverkning</t>
        </is>
      </c>
      <c r="D59" s="1" t="n">
        <v>45061</v>
      </c>
      <c r="E59" s="1" t="n">
        <v>46323</v>
      </c>
      <c r="F59" t="inlineStr">
        <is>
          <t>STOCKHOLMS LÄN</t>
        </is>
      </c>
      <c r="G59" t="inlineStr">
        <is>
          <t>SIGTUNA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46323</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7214-2022</t>
        </is>
      </c>
      <c r="B61" t="inlineStr">
        <is>
          <t>avverkningsanmälan</t>
        </is>
      </c>
      <c r="C61" t="inlineStr">
        <is>
          <t>Föryngringsavverkning</t>
        </is>
      </c>
      <c r="D61" s="1" t="n">
        <v>44606</v>
      </c>
      <c r="E61" s="1" t="n">
        <v>46323</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45319-2023</t>
        </is>
      </c>
      <c r="B62" t="inlineStr">
        <is>
          <t>avverkningsanmälan</t>
        </is>
      </c>
      <c r="C62" t="inlineStr">
        <is>
          <t>Föryngringsavverkning</t>
        </is>
      </c>
      <c r="D62" s="1" t="n">
        <v>45191</v>
      </c>
      <c r="E62" s="1" t="n">
        <v>46323</v>
      </c>
      <c r="F62" t="inlineStr">
        <is>
          <t>STOCKHOLMS LÄN</t>
        </is>
      </c>
      <c r="G62" t="inlineStr">
        <is>
          <t>SIGTUNA</t>
        </is>
      </c>
      <c r="H62" t="inlineStr">
        <is>
          <t>Allmännings- och besparingsskogar</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48375-2024</t>
        </is>
      </c>
      <c r="B63" t="inlineStr">
        <is>
          <t>avverkningsanmälan</t>
        </is>
      </c>
      <c r="C63" t="inlineStr">
        <is>
          <t>Föryngringsavverkning</t>
        </is>
      </c>
      <c r="D63" s="1" t="n">
        <v>45590</v>
      </c>
      <c r="E63" s="1" t="n">
        <v>46323</v>
      </c>
      <c r="F63" t="inlineStr">
        <is>
          <t>STOCKHOLMS LÄN</t>
        </is>
      </c>
      <c r="G63" t="inlineStr">
        <is>
          <t>SIGTUNA</t>
        </is>
      </c>
      <c r="H63" t="inlineStr">
        <is>
          <t>Allmännings- och besparingsskogar</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22402-2025</t>
        </is>
      </c>
      <c r="B64" t="inlineStr">
        <is>
          <t>avverkningsanmälan</t>
        </is>
      </c>
      <c r="C64" t="inlineStr">
        <is>
          <t>Föryngringsavverkning</t>
        </is>
      </c>
      <c r="D64" s="1" t="n">
        <v>45786</v>
      </c>
      <c r="E64" s="1" t="n">
        <v>46323</v>
      </c>
      <c r="F64" t="inlineStr">
        <is>
          <t>STOCKHOLMS LÄN</t>
        </is>
      </c>
      <c r="G64" t="inlineStr">
        <is>
          <t>SIGTUNA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35961-2024</t>
        </is>
      </c>
      <c r="B65" t="inlineStr">
        <is>
          <t>avverkningsanmälan</t>
        </is>
      </c>
      <c r="C65" t="inlineStr">
        <is>
          <t>Föryngringsavverkning</t>
        </is>
      </c>
      <c r="D65" s="1" t="n">
        <v>45533</v>
      </c>
      <c r="E65" s="1" t="n">
        <v>46323</v>
      </c>
      <c r="F65" t="inlineStr">
        <is>
          <t>STOCKHOLMS LÄN</t>
        </is>
      </c>
      <c r="G65" t="inlineStr">
        <is>
          <t>SIGTUNA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17286-2022</t>
        </is>
      </c>
      <c r="B66" t="inlineStr">
        <is>
          <t>avverkningsanmälan</t>
        </is>
      </c>
      <c r="C66" t="inlineStr">
        <is>
          <t>Avverkning för annat ändamål</t>
        </is>
      </c>
      <c r="D66" s="1" t="n">
        <v>44678</v>
      </c>
      <c r="E66" s="1" t="n">
        <v>46323</v>
      </c>
      <c r="F66" t="inlineStr">
        <is>
          <t>STOCKHOLMS LÄN</t>
        </is>
      </c>
      <c r="G66" t="inlineStr">
        <is>
          <t>SIGTUNA</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28752-2024</t>
        </is>
      </c>
      <c r="B67" t="inlineStr">
        <is>
          <t>avverkningsanmälan</t>
        </is>
      </c>
      <c r="C67" t="inlineStr">
        <is>
          <t>Föryngringsavverkning</t>
        </is>
      </c>
      <c r="D67" s="1" t="n">
        <v>45478</v>
      </c>
      <c r="E67" s="1" t="n">
        <v>46323</v>
      </c>
      <c r="F67" t="inlineStr">
        <is>
          <t>STOCKHOLMS LÄN</t>
        </is>
      </c>
      <c r="G67" t="inlineStr">
        <is>
          <t>SIGTUNA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19031-2024</t>
        </is>
      </c>
      <c r="B68" t="inlineStr">
        <is>
          <t>avverkningsanmälan</t>
        </is>
      </c>
      <c r="C68" t="inlineStr">
        <is>
          <t>Avverkning för annat ändamål</t>
        </is>
      </c>
      <c r="D68" s="1" t="n">
        <v>45427</v>
      </c>
      <c r="E68" s="1" t="n">
        <v>46323</v>
      </c>
      <c r="F68" t="inlineStr">
        <is>
          <t>STOCKHOLMS LÄN</t>
        </is>
      </c>
      <c r="G68" t="inlineStr">
        <is>
          <t>SIGTUNA</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862-2022</t>
        </is>
      </c>
      <c r="B69" t="inlineStr">
        <is>
          <t>avverkningsanmälan</t>
        </is>
      </c>
      <c r="C69" t="inlineStr">
        <is>
          <t>Avverkning för annat ändamål</t>
        </is>
      </c>
      <c r="D69" s="1" t="n">
        <v>44571</v>
      </c>
      <c r="E69" s="1" t="n">
        <v>46323</v>
      </c>
      <c r="F69" t="inlineStr">
        <is>
          <t>STOCKHOLMS LÄN</t>
        </is>
      </c>
      <c r="G69" t="inlineStr">
        <is>
          <t>SIGTUNA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24105-2025</t>
        </is>
      </c>
      <c r="B70" t="inlineStr">
        <is>
          <t>avverkningsanmälan</t>
        </is>
      </c>
      <c r="C70" t="inlineStr">
        <is>
          <t>Föryngringsavverkning</t>
        </is>
      </c>
      <c r="D70" s="1" t="n">
        <v>45796</v>
      </c>
      <c r="E70" s="1" t="n">
        <v>46323</v>
      </c>
      <c r="F70" t="inlineStr">
        <is>
          <t>STOCKHOLMS LÄN</t>
        </is>
      </c>
      <c r="G70" t="inlineStr">
        <is>
          <t>SIGTUNA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3673-2026</t>
        </is>
      </c>
      <c r="B71" t="inlineStr">
        <is>
          <t>avverkningsanmälan</t>
        </is>
      </c>
      <c r="C71" t="inlineStr">
        <is>
          <t>Föryngringsavverkning</t>
        </is>
      </c>
      <c r="D71" s="1" t="n">
        <v>46043</v>
      </c>
      <c r="E71" s="1" t="n">
        <v>46323</v>
      </c>
      <c r="F71" t="inlineStr">
        <is>
          <t>STOCKHOLMS LÄN</t>
        </is>
      </c>
      <c r="G71" t="inlineStr">
        <is>
          <t>SIGTUNA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4788-2026</t>
        </is>
      </c>
      <c r="B72" t="inlineStr">
        <is>
          <t>avverkningsanmälan</t>
        </is>
      </c>
      <c r="C72" t="inlineStr">
        <is>
          <t>Föryngringsavverkning</t>
        </is>
      </c>
      <c r="D72" s="1" t="n">
        <v>46048</v>
      </c>
      <c r="E72" s="1" t="n">
        <v>46323</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24636-2023</t>
        </is>
      </c>
      <c r="B73" t="inlineStr">
        <is>
          <t>avverkningsanmälan</t>
        </is>
      </c>
      <c r="C73" t="inlineStr">
        <is>
          <t>Föryngringsavverkning</t>
        </is>
      </c>
      <c r="D73" s="1" t="n">
        <v>45084</v>
      </c>
      <c r="E73" s="1" t="n">
        <v>46323</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273-2025</t>
        </is>
      </c>
      <c r="B74" t="inlineStr">
        <is>
          <t>avverkningsanmälan</t>
        </is>
      </c>
      <c r="C74" t="inlineStr">
        <is>
          <t>Avverkning för annat ändamål</t>
        </is>
      </c>
      <c r="D74" s="1" t="n">
        <v>45653</v>
      </c>
      <c r="E74" s="1" t="n">
        <v>46323</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31695-2022</t>
        </is>
      </c>
      <c r="B75" t="inlineStr">
        <is>
          <t>avverkningsanmälan</t>
        </is>
      </c>
      <c r="C75" t="inlineStr">
        <is>
          <t>Avverkning för att bevara och utveckla /försöksver</t>
        </is>
      </c>
      <c r="D75" s="1" t="n">
        <v>44776</v>
      </c>
      <c r="E75" s="1" t="n">
        <v>46323</v>
      </c>
      <c r="F75" t="inlineStr">
        <is>
          <t>STOCKHOLMS LÄN</t>
        </is>
      </c>
      <c r="G75" t="inlineStr">
        <is>
          <t>SIGTUNA</t>
        </is>
      </c>
      <c r="H75" t="inlineStr">
        <is>
          <t>Kommuner</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60934-2023</t>
        </is>
      </c>
      <c r="B76" t="inlineStr">
        <is>
          <t>avverkningsanmälan</t>
        </is>
      </c>
      <c r="C76" t="inlineStr">
        <is>
          <t>Föryngringsavverkning</t>
        </is>
      </c>
      <c r="D76" s="1" t="n">
        <v>45261</v>
      </c>
      <c r="E76" s="1" t="n">
        <v>46323</v>
      </c>
      <c r="F76" t="inlineStr">
        <is>
          <t>STOCKHOLMS LÄN</t>
        </is>
      </c>
      <c r="G76" t="inlineStr">
        <is>
          <t>SIGTUNA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38695-2026</t>
        </is>
      </c>
      <c r="B77" t="inlineStr">
        <is>
          <t>avverkningsanmälan</t>
        </is>
      </c>
      <c r="C77" t="inlineStr">
        <is>
          <t>Föryngringsavverkning</t>
        </is>
      </c>
      <c r="D77" s="1" t="n">
        <v>46283</v>
      </c>
      <c r="E77" s="1" t="n">
        <v>46323</v>
      </c>
      <c r="F77" t="inlineStr">
        <is>
          <t>STOCKHOLMS LÄN</t>
        </is>
      </c>
      <c r="G77" t="inlineStr">
        <is>
          <t>SIGTUNA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59957-2023</t>
        </is>
      </c>
      <c r="B78" t="inlineStr">
        <is>
          <t>avverkningsanmälan</t>
        </is>
      </c>
      <c r="C78" t="inlineStr">
        <is>
          <t>Föryngringsavverkning</t>
        </is>
      </c>
      <c r="D78" s="1" t="n">
        <v>45257</v>
      </c>
      <c r="E78" s="1" t="n">
        <v>46323</v>
      </c>
      <c r="F78" t="inlineStr">
        <is>
          <t>STOCKHOLMS LÄN</t>
        </is>
      </c>
      <c r="G78" t="inlineStr">
        <is>
          <t>SIGTUNA</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2496-2024</t>
        </is>
      </c>
      <c r="B79" t="inlineStr">
        <is>
          <t>avverkningsanmälan</t>
        </is>
      </c>
      <c r="C79" t="inlineStr">
        <is>
          <t>Föryngringsavverkning</t>
        </is>
      </c>
      <c r="D79" s="1" t="n">
        <v>45313</v>
      </c>
      <c r="E79" s="1" t="n">
        <v>46323</v>
      </c>
      <c r="F79" t="inlineStr">
        <is>
          <t>STOCKHOLMS LÄN</t>
        </is>
      </c>
      <c r="G79" t="inlineStr">
        <is>
          <t>SIGTUNA</t>
        </is>
      </c>
      <c r="H79" t="inlineStr">
        <is>
          <t>Kommuner</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35966-2024</t>
        </is>
      </c>
      <c r="B80" t="inlineStr">
        <is>
          <t>avverkningsanmälan</t>
        </is>
      </c>
      <c r="C80" t="inlineStr">
        <is>
          <t>Föryngringsavverkning</t>
        </is>
      </c>
      <c r="D80" s="1" t="n">
        <v>45533</v>
      </c>
      <c r="E80" s="1" t="n">
        <v>46323</v>
      </c>
      <c r="F80" t="inlineStr">
        <is>
          <t>STOCKHOLMS LÄN</t>
        </is>
      </c>
      <c r="G80" t="inlineStr">
        <is>
          <t>SIGTUNA</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36179-2022</t>
        </is>
      </c>
      <c r="B81" t="inlineStr">
        <is>
          <t>avverkningsanmälan</t>
        </is>
      </c>
      <c r="C81" t="inlineStr">
        <is>
          <t>Föryngringsavverkning</t>
        </is>
      </c>
      <c r="D81" s="1" t="n">
        <v>44803</v>
      </c>
      <c r="E81" s="1" t="n">
        <v>46323</v>
      </c>
      <c r="F81" t="inlineStr">
        <is>
          <t>STOCKHOLMS LÄN</t>
        </is>
      </c>
      <c r="G81" t="inlineStr">
        <is>
          <t>SIGTUNA</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36181-2022</t>
        </is>
      </c>
      <c r="B82" t="inlineStr">
        <is>
          <t>avverkningsanmälan</t>
        </is>
      </c>
      <c r="C82" t="inlineStr">
        <is>
          <t>Föryngringsavverkning</t>
        </is>
      </c>
      <c r="D82" s="1" t="n">
        <v>44803</v>
      </c>
      <c r="E82" s="1" t="n">
        <v>46323</v>
      </c>
      <c r="F82" t="inlineStr">
        <is>
          <t>STOCKHOLMS LÄN</t>
        </is>
      </c>
      <c r="G82" t="inlineStr">
        <is>
          <t>SIGTUNA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12052-2026</t>
        </is>
      </c>
      <c r="B83" t="inlineStr">
        <is>
          <t>avverkningsanmälan</t>
        </is>
      </c>
      <c r="C83" t="inlineStr">
        <is>
          <t>Föryngringsavverkning</t>
        </is>
      </c>
      <c r="D83" s="1" t="n">
        <v>46086</v>
      </c>
      <c r="E83" s="1" t="n">
        <v>46323</v>
      </c>
      <c r="F83" t="inlineStr">
        <is>
          <t>STOCKHOLMS LÄN</t>
        </is>
      </c>
      <c r="G83" t="inlineStr">
        <is>
          <t>SIGTUNA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13662-2026</t>
        </is>
      </c>
      <c r="B84" t="inlineStr">
        <is>
          <t>avverkningsanmälan</t>
        </is>
      </c>
      <c r="C84" t="inlineStr">
        <is>
          <t>Föryngringsavverkning</t>
        </is>
      </c>
      <c r="D84" s="1" t="n">
        <v>46097</v>
      </c>
      <c r="E84" s="1" t="n">
        <v>46323</v>
      </c>
      <c r="F84" t="inlineStr">
        <is>
          <t>STOCKHOLMS LÄN</t>
        </is>
      </c>
      <c r="G84" t="inlineStr">
        <is>
          <t>SIGTUNA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6826-2025</t>
        </is>
      </c>
      <c r="B85" t="inlineStr">
        <is>
          <t>avverkningsanmälan</t>
        </is>
      </c>
      <c r="C85" t="inlineStr">
        <is>
          <t>Avverkning för annat ändamål</t>
        </is>
      </c>
      <c r="D85" s="1" t="n">
        <v>45700</v>
      </c>
      <c r="E85" s="1" t="n">
        <v>46323</v>
      </c>
      <c r="F85" t="inlineStr">
        <is>
          <t>STOCKHOLMS LÄN</t>
        </is>
      </c>
      <c r="G85" t="inlineStr">
        <is>
          <t>SIGTUNA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46323</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60922-2023</t>
        </is>
      </c>
      <c r="B87" t="inlineStr">
        <is>
          <t>avverkningsanmälan</t>
        </is>
      </c>
      <c r="C87" t="inlineStr">
        <is>
          <t>Föryngringsavverkning</t>
        </is>
      </c>
      <c r="D87" s="1" t="n">
        <v>45261</v>
      </c>
      <c r="E87" s="1" t="n">
        <v>46323</v>
      </c>
      <c r="F87" t="inlineStr">
        <is>
          <t>STOCKHOLMS LÄN</t>
        </is>
      </c>
      <c r="G87" t="inlineStr">
        <is>
          <t>SIGTUNA</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12931-2022</t>
        </is>
      </c>
      <c r="B88" t="inlineStr">
        <is>
          <t>avverkningsanmälan</t>
        </is>
      </c>
      <c r="C88" t="inlineStr">
        <is>
          <t>Föryngringsavverkning</t>
        </is>
      </c>
      <c r="D88" s="1" t="n">
        <v>44642</v>
      </c>
      <c r="E88" s="1" t="n">
        <v>46323</v>
      </c>
      <c r="F88" t="inlineStr">
        <is>
          <t>STOCKHOLMS LÄN</t>
        </is>
      </c>
      <c r="G88" t="inlineStr">
        <is>
          <t>SIGTUNA</t>
        </is>
      </c>
      <c r="H88" t="inlineStr">
        <is>
          <t>Kyrkan</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41693-2022</t>
        </is>
      </c>
      <c r="B89" t="inlineStr">
        <is>
          <t>avverkningsanmälan</t>
        </is>
      </c>
      <c r="C89" t="inlineStr">
        <is>
          <t>Föryngringsavverkning</t>
        </is>
      </c>
      <c r="D89" s="1" t="n">
        <v>44827</v>
      </c>
      <c r="E89" s="1" t="n">
        <v>46323</v>
      </c>
      <c r="F89" t="inlineStr">
        <is>
          <t>STOCKHOLMS LÄN</t>
        </is>
      </c>
      <c r="G89" t="inlineStr">
        <is>
          <t>SIGTUNA</t>
        </is>
      </c>
      <c r="H89" t="inlineStr">
        <is>
          <t>Allmännings- och besparingsskogar</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37392-2024</t>
        </is>
      </c>
      <c r="B90" t="inlineStr">
        <is>
          <t>avverkningsanmälan</t>
        </is>
      </c>
      <c r="C90" t="inlineStr">
        <is>
          <t>Föryngringsavverkning</t>
        </is>
      </c>
      <c r="D90" s="1" t="n">
        <v>45540</v>
      </c>
      <c r="E90" s="1" t="n">
        <v>46323</v>
      </c>
      <c r="F90" t="inlineStr">
        <is>
          <t>STOCKHOLMS LÄN</t>
        </is>
      </c>
      <c r="G90" t="inlineStr">
        <is>
          <t>SIGTUNA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38465-2023</t>
        </is>
      </c>
      <c r="B91" t="inlineStr">
        <is>
          <t>avverkningsanmälan</t>
        </is>
      </c>
      <c r="C91" t="inlineStr">
        <is>
          <t>Föryngringsavverkning</t>
        </is>
      </c>
      <c r="D91" s="1" t="n">
        <v>45162</v>
      </c>
      <c r="E91" s="1" t="n">
        <v>46323</v>
      </c>
      <c r="F91" t="inlineStr">
        <is>
          <t>STOCKHOLMS LÄN</t>
        </is>
      </c>
      <c r="G91" t="inlineStr">
        <is>
          <t>SIGTUNA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46323</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37345-2026</t>
        </is>
      </c>
      <c r="B93" t="inlineStr">
        <is>
          <t>avverkningsanmälan</t>
        </is>
      </c>
      <c r="C93" t="inlineStr">
        <is>
          <t>Föryngringsavverkning</t>
        </is>
      </c>
      <c r="D93" s="1" t="n">
        <v>46275</v>
      </c>
      <c r="E93" s="1" t="n">
        <v>46323</v>
      </c>
      <c r="F93" t="inlineStr">
        <is>
          <t>STOCKHOLMS LÄN</t>
        </is>
      </c>
      <c r="G93" t="inlineStr">
        <is>
          <t>SIGTUNA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9856-2024</t>
        </is>
      </c>
      <c r="B94" t="inlineStr">
        <is>
          <t>avverkningsanmälan</t>
        </is>
      </c>
      <c r="C94" t="inlineStr">
        <is>
          <t>Avverkning för annat ändamål</t>
        </is>
      </c>
      <c r="D94" s="1" t="n">
        <v>45363</v>
      </c>
      <c r="E94" s="1" t="n">
        <v>46323</v>
      </c>
      <c r="F94" t="inlineStr">
        <is>
          <t>STOCKHOLMS LÄN</t>
        </is>
      </c>
      <c r="G94" t="inlineStr">
        <is>
          <t>SIGTUNA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28681-2025</t>
        </is>
      </c>
      <c r="B95" t="inlineStr">
        <is>
          <t>avverkningsanmälan</t>
        </is>
      </c>
      <c r="C95" t="inlineStr">
        <is>
          <t>Föryngringsavverkning</t>
        </is>
      </c>
      <c r="D95" s="1" t="n">
        <v>45819</v>
      </c>
      <c r="E95" s="1" t="n">
        <v>46323</v>
      </c>
      <c r="F95" t="inlineStr">
        <is>
          <t>STOCKHOLMS LÄN</t>
        </is>
      </c>
      <c r="G95" t="inlineStr">
        <is>
          <t>SIGTUNA</t>
        </is>
      </c>
      <c r="I95" t="n">
        <v>7.5</v>
      </c>
      <c r="J95" t="n">
        <v>0</v>
      </c>
      <c r="K95" t="n">
        <v>0</v>
      </c>
      <c r="L95" t="n">
        <v>0</v>
      </c>
      <c r="M95" t="n">
        <v>0</v>
      </c>
      <c r="N95" t="n">
        <v>0</v>
      </c>
      <c r="O95" t="n">
        <v>0</v>
      </c>
      <c r="P95" t="n">
        <v>0</v>
      </c>
      <c r="Q95" t="n">
        <v>0</v>
      </c>
      <c r="R95" t="n">
        <v>0</v>
      </c>
      <c r="S95" t="n">
        <v>0</v>
      </c>
      <c r="T95" t="n">
        <v>0</v>
      </c>
      <c r="U95" t="n">
        <v>0</v>
      </c>
      <c r="V95" s="2" t="inlineStr"/>
    </row>
    <row r="96" ht="15" customHeight="1">
      <c r="A96" t="inlineStr">
        <is>
          <t>A 22913-2026</t>
        </is>
      </c>
      <c r="B96" t="inlineStr">
        <is>
          <t>avverkningsanmälan</t>
        </is>
      </c>
      <c r="C96" t="inlineStr">
        <is>
          <t>Föryngringsavverkning</t>
        </is>
      </c>
      <c r="D96" s="1" t="n">
        <v>46159</v>
      </c>
      <c r="E96" s="1" t="n">
        <v>46323</v>
      </c>
      <c r="F96" t="inlineStr">
        <is>
          <t>STOCKHOLMS LÄN</t>
        </is>
      </c>
      <c r="G96" t="inlineStr">
        <is>
          <t>SIGTUNA</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32424-2023</t>
        </is>
      </c>
      <c r="B97" t="inlineStr">
        <is>
          <t>avverkningsanmälan</t>
        </is>
      </c>
      <c r="C97" t="inlineStr">
        <is>
          <t>Föryngringsavverkning</t>
        </is>
      </c>
      <c r="D97" s="1" t="n">
        <v>45110</v>
      </c>
      <c r="E97" s="1" t="n">
        <v>46323</v>
      </c>
      <c r="F97" t="inlineStr">
        <is>
          <t>STOCKHOLMS LÄN</t>
        </is>
      </c>
      <c r="G97" t="inlineStr">
        <is>
          <t>SIGTUNA</t>
        </is>
      </c>
      <c r="I97" t="n">
        <v>2.5</v>
      </c>
      <c r="J97" t="n">
        <v>0</v>
      </c>
      <c r="K97" t="n">
        <v>0</v>
      </c>
      <c r="L97" t="n">
        <v>0</v>
      </c>
      <c r="M97" t="n">
        <v>0</v>
      </c>
      <c r="N97" t="n">
        <v>0</v>
      </c>
      <c r="O97" t="n">
        <v>0</v>
      </c>
      <c r="P97" t="n">
        <v>0</v>
      </c>
      <c r="Q97" t="n">
        <v>0</v>
      </c>
      <c r="R97" t="n">
        <v>0</v>
      </c>
      <c r="S97" t="n">
        <v>0</v>
      </c>
      <c r="T97" t="n">
        <v>0</v>
      </c>
      <c r="U97" t="n">
        <v>0</v>
      </c>
      <c r="V97" s="2" t="inlineStr"/>
    </row>
    <row r="98">
      <c r="A98" t="inlineStr">
        <is>
          <t>A 32426-2023</t>
        </is>
      </c>
      <c r="B98" t="inlineStr">
        <is>
          <t>avverkningsanmälan</t>
        </is>
      </c>
      <c r="C98" t="inlineStr">
        <is>
          <t>Föryngringsavverkning</t>
        </is>
      </c>
      <c r="D98" s="1" t="n">
        <v>45110</v>
      </c>
      <c r="E98" s="1" t="n">
        <v>46323</v>
      </c>
      <c r="F98" t="inlineStr">
        <is>
          <t>STOCKHOLMS LÄN</t>
        </is>
      </c>
      <c r="G98" t="inlineStr">
        <is>
          <t>SIGTUNA</t>
        </is>
      </c>
      <c r="I98" t="n">
        <v>3.1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2026-10-28T03:15:12Z</dcterms:created>
  <dcterms:modified xmlns:dcterms="http://purl.org/dc/terms/" xmlns:xsi="http://www.w3.org/2001/XMLSchema-instance" xsi:type="dcterms:W3CDTF">2026-10-28T03:15:12Z</dcterms:modified>
</cp:coreProperties>
</file>
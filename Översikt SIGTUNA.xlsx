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46222</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46222</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46222</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46222</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46222</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46222</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Y9">
        <f>HYPERLINK("https://klasma.github.io/Logging_0191/klagomål/A 51189-2022 FSC-klagomål.docx", "A 51189-2022")</f>
        <v/>
      </c>
      <c r="Z9">
        <f>HYPERLINK("https://klasma.github.io/Logging_0191/klagomålsmail/A 51189-2022 FSC-klagomål mail.docx", "A 51189-2022")</f>
        <v/>
      </c>
      <c r="AA9">
        <f>HYPERLINK("https://klasma.github.io/Logging_0191/tillsyn/A 51189-2022 tillsynsbegäran.docx", "A 51189-2022")</f>
        <v/>
      </c>
      <c r="AB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Y10">
        <f>HYPERLINK("https://klasma.github.io/Logging_0191/klagomål/A 22400-2025 FSC-klagomål.docx", "A 22400-2025")</f>
        <v/>
      </c>
      <c r="Z10">
        <f>HYPERLINK("https://klasma.github.io/Logging_0191/klagomålsmail/A 22400-2025 FSC-klagomål mail.docx", "A 22400-2025")</f>
        <v/>
      </c>
      <c r="AA10">
        <f>HYPERLINK("https://klasma.github.io/Logging_0191/tillsyn/A 22400-2025 tillsynsbegäran.docx", "A 22400-2025")</f>
        <v/>
      </c>
      <c r="AB10">
        <f>HYPERLINK("https://klasma.github.io/Logging_0191/tillsynsmail/A 22400-2025 tillsynsbegäran mail.docx", "A 22400-2025")</f>
        <v/>
      </c>
      <c r="AC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46222</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s="2" t="inlineStr">
        <is>
          <t>Gröngöling
Kungsfågel</t>
        </is>
      </c>
      <c r="V13">
        <f>HYPERLINK("https://klasma.github.io/Logging_0191/artfynd/A 41957-2025 artfynd.xlsx", "A 41957-2025")</f>
        <v/>
      </c>
      <c r="W13">
        <f>HYPERLINK("https://klasma.github.io/Logging_0191/kartor/A 41957-2025 karta.png", "A 41957-2025")</f>
        <v/>
      </c>
      <c r="Y13">
        <f>HYPERLINK("https://klasma.github.io/Logging_0191/klagomål/A 41957-2025 FSC-klagomål.docx", "A 41957-2025")</f>
        <v/>
      </c>
      <c r="Z13">
        <f>HYPERLINK("https://klasma.github.io/Logging_0191/klagomålsmail/A 41957-2025 FSC-klagomål mail.docx", "A 41957-2025")</f>
        <v/>
      </c>
      <c r="AA13">
        <f>HYPERLINK("https://klasma.github.io/Logging_0191/tillsyn/A 41957-2025 tillsynsbegäran.docx", "A 41957-2025")</f>
        <v/>
      </c>
      <c r="AB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46222</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s="2" t="inlineStr">
        <is>
          <t>Bergsslok
Getrams</t>
        </is>
      </c>
      <c r="V14">
        <f>HYPERLINK("https://klasma.github.io/Logging_0191/artfynd/A 40643-2024 artfynd.xlsx", "A 40643-2024")</f>
        <v/>
      </c>
      <c r="W14">
        <f>HYPERLINK("https://klasma.github.io/Logging_0191/kartor/A 40643-2024 karta.png", "A 40643-2024")</f>
        <v/>
      </c>
      <c r="Y14">
        <f>HYPERLINK("https://klasma.github.io/Logging_0191/klagomål/A 40643-2024 FSC-klagomål.docx", "A 40643-2024")</f>
        <v/>
      </c>
      <c r="Z14">
        <f>HYPERLINK("https://klasma.github.io/Logging_0191/klagomålsmail/A 40643-2024 FSC-klagomål mail.docx", "A 40643-2024")</f>
        <v/>
      </c>
      <c r="AA14">
        <f>HYPERLINK("https://klasma.github.io/Logging_0191/tillsyn/A 40643-2024 tillsynsbegäran.docx", "A 40643-2024")</f>
        <v/>
      </c>
      <c r="AB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46222</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46222</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46222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s="2" t="inlineStr">
        <is>
          <t>Gullklöver</t>
        </is>
      </c>
      <c r="V17">
        <f>HYPERLINK("https://klasma.github.io/Logging_0191/artfynd/A 6893-2026 artfynd.xlsx", "A 6893-2026")</f>
        <v/>
      </c>
      <c r="W17">
        <f>HYPERLINK("https://klasma.github.io/Logging_0191/kartor/A 6893-2026 karta.png", "A 6893-2026")</f>
        <v/>
      </c>
      <c r="Y17">
        <f>HYPERLINK("https://klasma.github.io/Logging_0191/klagomål/A 6893-2026 FSC-klagomål.docx", "A 6893-2026")</f>
        <v/>
      </c>
      <c r="Z17">
        <f>HYPERLINK("https://klasma.github.io/Logging_0191/klagomålsmail/A 6893-2026 FSC-klagomål mail.docx", "A 6893-2026")</f>
        <v/>
      </c>
      <c r="AA17">
        <f>HYPERLINK("https://klasma.github.io/Logging_0191/tillsyn/A 6893-2026 tillsynsbegäran.docx", "A 6893-2026")</f>
        <v/>
      </c>
      <c r="AB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46222</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s="2" t="inlineStr">
        <is>
          <t>Gulsparv</t>
        </is>
      </c>
      <c r="V18">
        <f>HYPERLINK("https://klasma.github.io/Logging_0191/artfynd/A 46757-2023 artfynd.xlsx", "A 46757-2023")</f>
        <v/>
      </c>
      <c r="W18">
        <f>HYPERLINK("https://klasma.github.io/Logging_0191/kartor/A 46757-2023 karta.png", "A 46757-2023")</f>
        <v/>
      </c>
      <c r="Y18">
        <f>HYPERLINK("https://klasma.github.io/Logging_0191/klagomål/A 46757-2023 FSC-klagomål.docx", "A 46757-2023")</f>
        <v/>
      </c>
      <c r="Z18">
        <f>HYPERLINK("https://klasma.github.io/Logging_0191/klagomålsmail/A 46757-2023 FSC-klagomål mail.docx", "A 46757-2023")</f>
        <v/>
      </c>
      <c r="AA18">
        <f>HYPERLINK("https://klasma.github.io/Logging_0191/tillsyn/A 46757-2023 tillsynsbegäran.docx", "A 46757-2023")</f>
        <v/>
      </c>
      <c r="AB18">
        <f>HYPERLINK("https://klasma.github.io/Logging_0191/tillsynsmail/A 46757-2023 tillsynsbegäran mail.docx", "A 46757-2023")</f>
        <v/>
      </c>
      <c r="AC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46222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s="2" t="inlineStr">
        <is>
          <t>Grönfink</t>
        </is>
      </c>
      <c r="V19">
        <f>HYPERLINK("https://klasma.github.io/Logging_0191/artfynd/A 33751-2024 artfynd.xlsx", "A 33751-2024")</f>
        <v/>
      </c>
      <c r="W19">
        <f>HYPERLINK("https://klasma.github.io/Logging_0191/kartor/A 33751-2024 karta.png", "A 33751-2024")</f>
        <v/>
      </c>
      <c r="Y19">
        <f>HYPERLINK("https://klasma.github.io/Logging_0191/klagomål/A 33751-2024 FSC-klagomål.docx", "A 33751-2024")</f>
        <v/>
      </c>
      <c r="Z19">
        <f>HYPERLINK("https://klasma.github.io/Logging_0191/klagomålsmail/A 33751-2024 FSC-klagomål mail.docx", "A 33751-2024")</f>
        <v/>
      </c>
      <c r="AA19">
        <f>HYPERLINK("https://klasma.github.io/Logging_0191/tillsyn/A 33751-2024 tillsynsbegäran.docx", "A 33751-2024")</f>
        <v/>
      </c>
      <c r="AB19">
        <f>HYPERLINK("https://klasma.github.io/Logging_0191/tillsynsmail/A 33751-2024 tillsynsbegäran mail.docx", "A 33751-2024")</f>
        <v/>
      </c>
      <c r="AC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46222</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s="2" t="inlineStr">
        <is>
          <t>Hornuggla</t>
        </is>
      </c>
      <c r="V20">
        <f>HYPERLINK("https://klasma.github.io/Logging_0191/artfynd/A 39716-2023 artfynd.xlsx", "A 39716-2023")</f>
        <v/>
      </c>
      <c r="W20">
        <f>HYPERLINK("https://klasma.github.io/Logging_0191/kartor/A 39716-2023 karta.png", "A 39716-2023")</f>
        <v/>
      </c>
      <c r="Y20">
        <f>HYPERLINK("https://klasma.github.io/Logging_0191/klagomål/A 39716-2023 FSC-klagomål.docx", "A 39716-2023")</f>
        <v/>
      </c>
      <c r="Z20">
        <f>HYPERLINK("https://klasma.github.io/Logging_0191/klagomålsmail/A 39716-2023 FSC-klagomål mail.docx", "A 39716-2023")</f>
        <v/>
      </c>
      <c r="AA20">
        <f>HYPERLINK("https://klasma.github.io/Logging_0191/tillsyn/A 39716-2023 tillsynsbegäran.docx", "A 39716-2023")</f>
        <v/>
      </c>
      <c r="AB20">
        <f>HYPERLINK("https://klasma.github.io/Logging_0191/tillsynsmail/A 39716-2023 tillsynsbegäran mail.docx", "A 39716-2023")</f>
        <v/>
      </c>
      <c r="AC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46222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Y21">
        <f>HYPERLINK("https://klasma.github.io/Logging_0191/klagomål/A 15452-2023 FSC-klagomål.docx", "A 15452-2023")</f>
        <v/>
      </c>
      <c r="Z21">
        <f>HYPERLINK("https://klasma.github.io/Logging_0191/klagomålsmail/A 15452-2023 FSC-klagomål mail.docx", "A 15452-2023")</f>
        <v/>
      </c>
      <c r="AA21">
        <f>HYPERLINK("https://klasma.github.io/Logging_0191/tillsyn/A 15452-2023 tillsynsbegäran.docx", "A 15452-2023")</f>
        <v/>
      </c>
      <c r="AB21">
        <f>HYPERLINK("https://klasma.github.io/Logging_0191/tillsynsmail/A 15452-2023 tillsynsbegäran mail.docx", "A 15452-2023")</f>
        <v/>
      </c>
      <c r="AC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46222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46222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46222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46222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46222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46222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49592-2023</t>
        </is>
      </c>
      <c r="B29" t="inlineStr">
        <is>
          <t>avverkningsanmälan</t>
        </is>
      </c>
      <c r="C29" t="inlineStr">
        <is>
          <t>Föryngringsavverkning</t>
        </is>
      </c>
      <c r="D29" s="1" t="n">
        <v>45211</v>
      </c>
      <c r="E29" s="1" t="n">
        <v>46222</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s="2" t="inlineStr"/>
    </row>
    <row r="30" ht="15" customHeight="1">
      <c r="A30" t="inlineStr">
        <is>
          <t>A 58619-2023</t>
        </is>
      </c>
      <c r="B30" t="inlineStr">
        <is>
          <t>avverkningsanmälan</t>
        </is>
      </c>
      <c r="C30" t="inlineStr">
        <is>
          <t>Föryngringsavverkning</t>
        </is>
      </c>
      <c r="D30" s="1" t="n">
        <v>45251</v>
      </c>
      <c r="E30" s="1" t="n">
        <v>46222</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s="2" t="inlineStr"/>
    </row>
    <row r="31" ht="15" customHeight="1">
      <c r="A31" t="inlineStr">
        <is>
          <t>A 5142-2024</t>
        </is>
      </c>
      <c r="B31" t="inlineStr">
        <is>
          <t>avverkningsanmälan</t>
        </is>
      </c>
      <c r="C31" t="inlineStr">
        <is>
          <t>Avverkning för annat ändamål</t>
        </is>
      </c>
      <c r="D31" s="1" t="n">
        <v>45330</v>
      </c>
      <c r="E31" s="1" t="n">
        <v>46222</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s="2" t="inlineStr"/>
    </row>
    <row r="32" ht="15" customHeight="1">
      <c r="A32" t="inlineStr">
        <is>
          <t>A 59168-2022</t>
        </is>
      </c>
      <c r="B32" t="inlineStr">
        <is>
          <t>avverkningsanmälan</t>
        </is>
      </c>
      <c r="C32" t="inlineStr">
        <is>
          <t>Föryngringsavverkning</t>
        </is>
      </c>
      <c r="D32" s="1" t="n">
        <v>44904</v>
      </c>
      <c r="E32" s="1" t="n">
        <v>46222</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s="2" t="inlineStr"/>
    </row>
    <row r="33" ht="15" customHeight="1">
      <c r="A33" t="inlineStr">
        <is>
          <t>A 41702-2023</t>
        </is>
      </c>
      <c r="B33" t="inlineStr">
        <is>
          <t>avverkningsanmälan</t>
        </is>
      </c>
      <c r="C33" t="inlineStr">
        <is>
          <t>Föryngringsavverkning</t>
        </is>
      </c>
      <c r="D33" s="1" t="n">
        <v>45176</v>
      </c>
      <c r="E33" s="1" t="n">
        <v>46222</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s="2" t="inlineStr"/>
    </row>
    <row r="34" ht="15" customHeight="1">
      <c r="A34" t="inlineStr">
        <is>
          <t>A 38276-2023</t>
        </is>
      </c>
      <c r="B34" t="inlineStr">
        <is>
          <t>avverkningsanmälan</t>
        </is>
      </c>
      <c r="C34" t="inlineStr">
        <is>
          <t>Föryngringsavverkning</t>
        </is>
      </c>
      <c r="D34" s="1" t="n">
        <v>45160</v>
      </c>
      <c r="E34" s="1" t="n">
        <v>46222</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s="2" t="inlineStr"/>
    </row>
    <row r="35" ht="15" customHeight="1">
      <c r="A35" t="inlineStr">
        <is>
          <t>A 45233-2024</t>
        </is>
      </c>
      <c r="B35" t="inlineStr">
        <is>
          <t>avverkningsanmälan</t>
        </is>
      </c>
      <c r="C35" t="inlineStr">
        <is>
          <t>Föryngringsavverkning</t>
        </is>
      </c>
      <c r="D35" s="1" t="n">
        <v>45575</v>
      </c>
      <c r="E35" s="1" t="n">
        <v>46222</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s="2" t="inlineStr"/>
    </row>
    <row r="36" ht="15" customHeight="1">
      <c r="A36" t="inlineStr">
        <is>
          <t>A 20375-2023</t>
        </is>
      </c>
      <c r="B36" t="inlineStr">
        <is>
          <t>avverkningsanmälan</t>
        </is>
      </c>
      <c r="C36" t="inlineStr">
        <is>
          <t>Föryngringsavverkning</t>
        </is>
      </c>
      <c r="D36" s="1" t="n">
        <v>45054</v>
      </c>
      <c r="E36" s="1" t="n">
        <v>46222</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s="2" t="inlineStr"/>
    </row>
    <row r="37" ht="15" customHeight="1">
      <c r="A37" t="inlineStr">
        <is>
          <t>A 3673-2026</t>
        </is>
      </c>
      <c r="B37" t="inlineStr">
        <is>
          <t>avverkningsanmälan</t>
        </is>
      </c>
      <c r="C37" t="inlineStr">
        <is>
          <t>Föryngringsavverkning</t>
        </is>
      </c>
      <c r="D37" s="1" t="n">
        <v>46043</v>
      </c>
      <c r="E37" s="1" t="n">
        <v>46222</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s="2" t="inlineStr"/>
    </row>
    <row r="38" ht="15" customHeight="1">
      <c r="A38" t="inlineStr">
        <is>
          <t>A 51770-2023</t>
        </is>
      </c>
      <c r="B38" t="inlineStr">
        <is>
          <t>avverkningsanmälan</t>
        </is>
      </c>
      <c r="C38" t="inlineStr">
        <is>
          <t>Föryngringsavverkning</t>
        </is>
      </c>
      <c r="D38" s="1" t="n">
        <v>45222</v>
      </c>
      <c r="E38" s="1" t="n">
        <v>46222</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s="2" t="inlineStr"/>
    </row>
    <row r="39" ht="15" customHeight="1">
      <c r="A39" t="inlineStr">
        <is>
          <t>A 59165-2022</t>
        </is>
      </c>
      <c r="B39" t="inlineStr">
        <is>
          <t>avverkningsanmälan</t>
        </is>
      </c>
      <c r="C39" t="inlineStr">
        <is>
          <t>Föryngringsavverkning</t>
        </is>
      </c>
      <c r="D39" s="1" t="n">
        <v>44904</v>
      </c>
      <c r="E39" s="1" t="n">
        <v>46222</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s="2" t="inlineStr"/>
    </row>
    <row r="40" ht="15" customHeight="1">
      <c r="A40" t="inlineStr">
        <is>
          <t>A 4788-2026</t>
        </is>
      </c>
      <c r="B40" t="inlineStr">
        <is>
          <t>avverkningsanmälan</t>
        </is>
      </c>
      <c r="C40" t="inlineStr">
        <is>
          <t>Föryngringsavverkning</t>
        </is>
      </c>
      <c r="D40" s="1" t="n">
        <v>46048</v>
      </c>
      <c r="E40" s="1" t="n">
        <v>46222</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s="2" t="inlineStr"/>
    </row>
    <row r="41" ht="15" customHeight="1">
      <c r="A41" t="inlineStr">
        <is>
          <t>A 20960-2023</t>
        </is>
      </c>
      <c r="B41" t="inlineStr">
        <is>
          <t>avverkningsanmälan</t>
        </is>
      </c>
      <c r="C41" t="inlineStr">
        <is>
          <t>Föryngringsavverkning</t>
        </is>
      </c>
      <c r="D41" s="1" t="n">
        <v>45061</v>
      </c>
      <c r="E41" s="1" t="n">
        <v>46222</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s="2" t="inlineStr"/>
    </row>
    <row r="42" ht="15" customHeight="1">
      <c r="A42" t="inlineStr">
        <is>
          <t>A 28851-2022</t>
        </is>
      </c>
      <c r="B42" t="inlineStr">
        <is>
          <t>avverkningsanmälan</t>
        </is>
      </c>
      <c r="C42" t="inlineStr">
        <is>
          <t>Föryngringsavverkning</t>
        </is>
      </c>
      <c r="D42" s="1" t="n">
        <v>44749</v>
      </c>
      <c r="E42" s="1" t="n">
        <v>46222</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s="2" t="inlineStr"/>
    </row>
    <row r="43" ht="15" customHeight="1">
      <c r="A43" t="inlineStr">
        <is>
          <t>A 28681-2025</t>
        </is>
      </c>
      <c r="B43" t="inlineStr">
        <is>
          <t>avverkningsanmälan</t>
        </is>
      </c>
      <c r="C43" t="inlineStr">
        <is>
          <t>Föryngringsavverkning</t>
        </is>
      </c>
      <c r="D43" s="1" t="n">
        <v>45819</v>
      </c>
      <c r="E43" s="1" t="n">
        <v>46222</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s="2" t="inlineStr"/>
    </row>
    <row r="44" ht="15" customHeight="1">
      <c r="A44" t="inlineStr">
        <is>
          <t>A 47392-2025</t>
        </is>
      </c>
      <c r="B44" t="inlineStr">
        <is>
          <t>avverkningsanmälan</t>
        </is>
      </c>
      <c r="C44" t="inlineStr">
        <is>
          <t>Föryngringsavverkning</t>
        </is>
      </c>
      <c r="D44" s="1" t="n">
        <v>45930</v>
      </c>
      <c r="E44" s="1" t="n">
        <v>46222</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s="2" t="inlineStr"/>
    </row>
    <row r="45" ht="15" customHeight="1">
      <c r="A45" t="inlineStr">
        <is>
          <t>A 42572-2024</t>
        </is>
      </c>
      <c r="B45" t="inlineStr">
        <is>
          <t>avverkningsanmälan</t>
        </is>
      </c>
      <c r="C45" t="inlineStr">
        <is>
          <t>Föryngringsavverkning</t>
        </is>
      </c>
      <c r="D45" s="1" t="n">
        <v>45565</v>
      </c>
      <c r="E45" s="1" t="n">
        <v>46222</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s="2" t="inlineStr"/>
    </row>
    <row r="46" ht="15" customHeight="1">
      <c r="A46" t="inlineStr">
        <is>
          <t>A 56796-2022</t>
        </is>
      </c>
      <c r="B46" t="inlineStr">
        <is>
          <t>avverkningsanmälan</t>
        </is>
      </c>
      <c r="C46" t="inlineStr">
        <is>
          <t>Föryngringsavverkning</t>
        </is>
      </c>
      <c r="D46" s="1" t="n">
        <v>44894</v>
      </c>
      <c r="E46" s="1" t="n">
        <v>46222</v>
      </c>
      <c r="F46" t="inlineStr">
        <is>
          <t>STOCKHOLMS LÄN</t>
        </is>
      </c>
      <c r="G46" t="inlineStr">
        <is>
          <t>SIGTUNA</t>
        </is>
      </c>
      <c r="I46" t="n">
        <v>5.2</v>
      </c>
      <c r="J46" t="n">
        <v>0</v>
      </c>
      <c r="K46" t="n">
        <v>0</v>
      </c>
      <c r="L46" t="n">
        <v>0</v>
      </c>
      <c r="M46" t="n">
        <v>0</v>
      </c>
      <c r="N46" t="n">
        <v>0</v>
      </c>
      <c r="O46" t="n">
        <v>0</v>
      </c>
      <c r="P46" t="n">
        <v>0</v>
      </c>
      <c r="Q46" t="n">
        <v>0</v>
      </c>
      <c r="R46" t="n">
        <v>0</v>
      </c>
      <c r="S46" t="n">
        <v>0</v>
      </c>
      <c r="T46" t="n">
        <v>0</v>
      </c>
      <c r="U46" s="2" t="inlineStr"/>
    </row>
    <row r="47" ht="15" customHeight="1">
      <c r="A47" t="inlineStr">
        <is>
          <t>A 7229-2026</t>
        </is>
      </c>
      <c r="B47" t="inlineStr">
        <is>
          <t>avverkningsanmälan</t>
        </is>
      </c>
      <c r="C47" t="inlineStr">
        <is>
          <t>Föryngringsavverkning</t>
        </is>
      </c>
      <c r="D47" s="1" t="n">
        <v>46058</v>
      </c>
      <c r="E47" s="1" t="n">
        <v>46222</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s="2" t="inlineStr"/>
    </row>
    <row r="48" ht="15" customHeight="1">
      <c r="A48" t="inlineStr">
        <is>
          <t>A 49916-2025</t>
        </is>
      </c>
      <c r="B48" t="inlineStr">
        <is>
          <t>avverkningsanmälan</t>
        </is>
      </c>
      <c r="C48" t="inlineStr">
        <is>
          <t>Föryngringsavverkning</t>
        </is>
      </c>
      <c r="D48" s="1" t="n">
        <v>45940</v>
      </c>
      <c r="E48" s="1" t="n">
        <v>46222</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s="2" t="inlineStr"/>
    </row>
    <row r="49" ht="15" customHeight="1">
      <c r="A49" t="inlineStr">
        <is>
          <t>A 7833-2026</t>
        </is>
      </c>
      <c r="B49" t="inlineStr">
        <is>
          <t>avverkningsanmälan</t>
        </is>
      </c>
      <c r="C49" t="inlineStr">
        <is>
          <t>Föryngringsavverkning</t>
        </is>
      </c>
      <c r="D49" s="1" t="n">
        <v>46062</v>
      </c>
      <c r="E49" s="1" t="n">
        <v>46222</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s="2" t="inlineStr"/>
    </row>
    <row r="50" ht="15" customHeight="1">
      <c r="A50" t="inlineStr">
        <is>
          <t>A 10790-2023</t>
        </is>
      </c>
      <c r="B50" t="inlineStr">
        <is>
          <t>avverkningsanmälan</t>
        </is>
      </c>
      <c r="C50" t="inlineStr">
        <is>
          <t>Föryngringsavverkning</t>
        </is>
      </c>
      <c r="D50" s="1" t="n">
        <v>44989</v>
      </c>
      <c r="E50" s="1" t="n">
        <v>46222</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s="2" t="inlineStr"/>
    </row>
    <row r="51" ht="15" customHeight="1">
      <c r="A51" t="inlineStr">
        <is>
          <t>A 25452-2023</t>
        </is>
      </c>
      <c r="B51" t="inlineStr">
        <is>
          <t>avverkningsanmälan</t>
        </is>
      </c>
      <c r="C51" t="inlineStr">
        <is>
          <t>Föryngringsavverkning</t>
        </is>
      </c>
      <c r="D51" s="1" t="n">
        <v>45089</v>
      </c>
      <c r="E51" s="1" t="n">
        <v>46222</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s="2" t="inlineStr"/>
    </row>
    <row r="52" ht="15" customHeight="1">
      <c r="A52" t="inlineStr">
        <is>
          <t>A 25459-2023</t>
        </is>
      </c>
      <c r="B52" t="inlineStr">
        <is>
          <t>avverkningsanmälan</t>
        </is>
      </c>
      <c r="C52" t="inlineStr">
        <is>
          <t>Föryngringsavverkning</t>
        </is>
      </c>
      <c r="D52" s="1" t="n">
        <v>45089</v>
      </c>
      <c r="E52" s="1" t="n">
        <v>46222</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s="2" t="inlineStr"/>
    </row>
    <row r="53" ht="15" customHeight="1">
      <c r="A53" t="inlineStr">
        <is>
          <t>A 61937-2021</t>
        </is>
      </c>
      <c r="B53" t="inlineStr">
        <is>
          <t>avverkningsanmälan</t>
        </is>
      </c>
      <c r="C53" t="inlineStr">
        <is>
          <t>Avverkning för annat ändamål</t>
        </is>
      </c>
      <c r="D53" s="1" t="n">
        <v>44502</v>
      </c>
      <c r="E53" s="1" t="n">
        <v>46222</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s="2" t="inlineStr"/>
    </row>
    <row r="54" ht="15" customHeight="1">
      <c r="A54" t="inlineStr">
        <is>
          <t>A 12052-2026</t>
        </is>
      </c>
      <c r="B54" t="inlineStr">
        <is>
          <t>avverkningsanmälan</t>
        </is>
      </c>
      <c r="C54" t="inlineStr">
        <is>
          <t>Föryngringsavverkning</t>
        </is>
      </c>
      <c r="D54" s="1" t="n">
        <v>46086</v>
      </c>
      <c r="E54" s="1" t="n">
        <v>46222</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s="2" t="inlineStr"/>
    </row>
    <row r="55" ht="15" customHeight="1">
      <c r="A55" t="inlineStr">
        <is>
          <t>A 60935-2023</t>
        </is>
      </c>
      <c r="B55" t="inlineStr">
        <is>
          <t>avverkningsanmälan</t>
        </is>
      </c>
      <c r="C55" t="inlineStr">
        <is>
          <t>Föryngringsavverkning</t>
        </is>
      </c>
      <c r="D55" s="1" t="n">
        <v>45261</v>
      </c>
      <c r="E55" s="1" t="n">
        <v>46222</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s="2" t="inlineStr"/>
    </row>
    <row r="56" ht="15" customHeight="1">
      <c r="A56" t="inlineStr">
        <is>
          <t>A 13662-2026</t>
        </is>
      </c>
      <c r="B56" t="inlineStr">
        <is>
          <t>avverkningsanmälan</t>
        </is>
      </c>
      <c r="C56" t="inlineStr">
        <is>
          <t>Föryngringsavverkning</t>
        </is>
      </c>
      <c r="D56" s="1" t="n">
        <v>46097</v>
      </c>
      <c r="E56" s="1" t="n">
        <v>46222</v>
      </c>
      <c r="F56" t="inlineStr">
        <is>
          <t>STOCKHOLMS LÄN</t>
        </is>
      </c>
      <c r="G56" t="inlineStr">
        <is>
          <t>SIGTUNA</t>
        </is>
      </c>
      <c r="I56" t="n">
        <v>1</v>
      </c>
      <c r="J56" t="n">
        <v>0</v>
      </c>
      <c r="K56" t="n">
        <v>0</v>
      </c>
      <c r="L56" t="n">
        <v>0</v>
      </c>
      <c r="M56" t="n">
        <v>0</v>
      </c>
      <c r="N56" t="n">
        <v>0</v>
      </c>
      <c r="O56" t="n">
        <v>0</v>
      </c>
      <c r="P56" t="n">
        <v>0</v>
      </c>
      <c r="Q56" t="n">
        <v>0</v>
      </c>
      <c r="R56" t="n">
        <v>0</v>
      </c>
      <c r="S56" t="n">
        <v>0</v>
      </c>
      <c r="T56" t="n">
        <v>0</v>
      </c>
      <c r="U56" s="2" t="inlineStr"/>
    </row>
    <row r="57" ht="15" customHeight="1">
      <c r="A57" t="inlineStr">
        <is>
          <t>A 20957-2023</t>
        </is>
      </c>
      <c r="B57" t="inlineStr">
        <is>
          <t>avverkningsanmälan</t>
        </is>
      </c>
      <c r="C57" t="inlineStr">
        <is>
          <t>Föryngringsavverkning</t>
        </is>
      </c>
      <c r="D57" s="1" t="n">
        <v>45061</v>
      </c>
      <c r="E57" s="1" t="n">
        <v>46222</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s="2" t="inlineStr"/>
    </row>
    <row r="58" ht="15" customHeight="1">
      <c r="A58" t="inlineStr">
        <is>
          <t>A 60969-2025</t>
        </is>
      </c>
      <c r="B58" t="inlineStr">
        <is>
          <t>avverkningsanmälan</t>
        </is>
      </c>
      <c r="C58" t="inlineStr">
        <is>
          <t>Föryngringsavverkning</t>
        </is>
      </c>
      <c r="D58" s="1" t="n">
        <v>45996</v>
      </c>
      <c r="E58" s="1" t="n">
        <v>46222</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s="2" t="inlineStr"/>
    </row>
    <row r="59" ht="15" customHeight="1">
      <c r="A59" t="inlineStr">
        <is>
          <t>A 60949-2025</t>
        </is>
      </c>
      <c r="B59" t="inlineStr">
        <is>
          <t>avverkningsanmälan</t>
        </is>
      </c>
      <c r="C59" t="inlineStr">
        <is>
          <t>Föryngringsavverkning</t>
        </is>
      </c>
      <c r="D59" s="1" t="n">
        <v>45996</v>
      </c>
      <c r="E59" s="1" t="n">
        <v>46222</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s="2" t="inlineStr"/>
    </row>
    <row r="60" ht="15" customHeight="1">
      <c r="A60" t="inlineStr">
        <is>
          <t>A 43700-2023</t>
        </is>
      </c>
      <c r="B60" t="inlineStr">
        <is>
          <t>avverkningsanmälan</t>
        </is>
      </c>
      <c r="C60" t="inlineStr">
        <is>
          <t>Föryngringsavverkning</t>
        </is>
      </c>
      <c r="D60" s="1" t="n">
        <v>45187</v>
      </c>
      <c r="E60" s="1" t="n">
        <v>46222</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s="2" t="inlineStr"/>
    </row>
    <row r="61" ht="15" customHeight="1">
      <c r="A61" t="inlineStr">
        <is>
          <t>A 72530-2021</t>
        </is>
      </c>
      <c r="B61" t="inlineStr">
        <is>
          <t>avverkningsanmälan</t>
        </is>
      </c>
      <c r="C61" t="inlineStr">
        <is>
          <t>Avverkning för annat ändamål</t>
        </is>
      </c>
      <c r="D61" s="1" t="n">
        <v>44546</v>
      </c>
      <c r="E61" s="1" t="n">
        <v>46222</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s="2" t="inlineStr"/>
    </row>
    <row r="62" ht="15" customHeight="1">
      <c r="A62" t="inlineStr">
        <is>
          <t>A 74170-2021</t>
        </is>
      </c>
      <c r="B62" t="inlineStr">
        <is>
          <t>avverkningsanmälan</t>
        </is>
      </c>
      <c r="C62" t="inlineStr">
        <is>
          <t>Föryngringsavverkning</t>
        </is>
      </c>
      <c r="D62" s="1" t="n">
        <v>44557</v>
      </c>
      <c r="E62" s="1" t="n">
        <v>46222</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s="2" t="inlineStr"/>
    </row>
    <row r="63" ht="15" customHeight="1">
      <c r="A63" t="inlineStr">
        <is>
          <t>A 17320-2023</t>
        </is>
      </c>
      <c r="B63" t="inlineStr">
        <is>
          <t>avverkningsanmälan</t>
        </is>
      </c>
      <c r="C63" t="inlineStr">
        <is>
          <t>Föryngringsavverkning</t>
        </is>
      </c>
      <c r="D63" s="1" t="n">
        <v>45035</v>
      </c>
      <c r="E63" s="1" t="n">
        <v>46222</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s="2" t="inlineStr"/>
    </row>
    <row r="64" ht="15" customHeight="1">
      <c r="A64" t="inlineStr">
        <is>
          <t>A 7214-2022</t>
        </is>
      </c>
      <c r="B64" t="inlineStr">
        <is>
          <t>avverkningsanmälan</t>
        </is>
      </c>
      <c r="C64" t="inlineStr">
        <is>
          <t>Föryngringsavverkning</t>
        </is>
      </c>
      <c r="D64" s="1" t="n">
        <v>44606</v>
      </c>
      <c r="E64" s="1" t="n">
        <v>46222</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s="2" t="inlineStr"/>
    </row>
    <row r="65" ht="15" customHeight="1">
      <c r="A65" t="inlineStr">
        <is>
          <t>A 45319-2023</t>
        </is>
      </c>
      <c r="B65" t="inlineStr">
        <is>
          <t>avverkningsanmälan</t>
        </is>
      </c>
      <c r="C65" t="inlineStr">
        <is>
          <t>Föryngringsavverkning</t>
        </is>
      </c>
      <c r="D65" s="1" t="n">
        <v>45191</v>
      </c>
      <c r="E65" s="1" t="n">
        <v>46222</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s="2" t="inlineStr"/>
    </row>
    <row r="66" ht="15" customHeight="1">
      <c r="A66" t="inlineStr">
        <is>
          <t>A 17286-2022</t>
        </is>
      </c>
      <c r="B66" t="inlineStr">
        <is>
          <t>avverkningsanmälan</t>
        </is>
      </c>
      <c r="C66" t="inlineStr">
        <is>
          <t>Avverkning för annat ändamål</t>
        </is>
      </c>
      <c r="D66" s="1" t="n">
        <v>44678</v>
      </c>
      <c r="E66" s="1" t="n">
        <v>46222</v>
      </c>
      <c r="F66" t="inlineStr">
        <is>
          <t>STOCKHOLMS LÄN</t>
        </is>
      </c>
      <c r="G66" t="inlineStr">
        <is>
          <t>SIGTUNA</t>
        </is>
      </c>
      <c r="I66" t="n">
        <v>3.6</v>
      </c>
      <c r="J66" t="n">
        <v>0</v>
      </c>
      <c r="K66" t="n">
        <v>0</v>
      </c>
      <c r="L66" t="n">
        <v>0</v>
      </c>
      <c r="M66" t="n">
        <v>0</v>
      </c>
      <c r="N66" t="n">
        <v>0</v>
      </c>
      <c r="O66" t="n">
        <v>0</v>
      </c>
      <c r="P66" t="n">
        <v>0</v>
      </c>
      <c r="Q66" t="n">
        <v>0</v>
      </c>
      <c r="R66" t="n">
        <v>0</v>
      </c>
      <c r="S66" t="n">
        <v>0</v>
      </c>
      <c r="T66" t="n">
        <v>0</v>
      </c>
      <c r="U66" s="2" t="inlineStr"/>
    </row>
    <row r="67" ht="15" customHeight="1">
      <c r="A67" t="inlineStr">
        <is>
          <t>A 28752-2024</t>
        </is>
      </c>
      <c r="B67" t="inlineStr">
        <is>
          <t>avverkningsanmälan</t>
        </is>
      </c>
      <c r="C67" t="inlineStr">
        <is>
          <t>Föryngringsavverkning</t>
        </is>
      </c>
      <c r="D67" s="1" t="n">
        <v>45478</v>
      </c>
      <c r="E67" s="1" t="n">
        <v>46222</v>
      </c>
      <c r="F67" t="inlineStr">
        <is>
          <t>STOCKHOLMS LÄN</t>
        </is>
      </c>
      <c r="G67" t="inlineStr">
        <is>
          <t>SIGTUNA</t>
        </is>
      </c>
      <c r="I67" t="n">
        <v>1.7</v>
      </c>
      <c r="J67" t="n">
        <v>0</v>
      </c>
      <c r="K67" t="n">
        <v>0</v>
      </c>
      <c r="L67" t="n">
        <v>0</v>
      </c>
      <c r="M67" t="n">
        <v>0</v>
      </c>
      <c r="N67" t="n">
        <v>0</v>
      </c>
      <c r="O67" t="n">
        <v>0</v>
      </c>
      <c r="P67" t="n">
        <v>0</v>
      </c>
      <c r="Q67" t="n">
        <v>0</v>
      </c>
      <c r="R67" t="n">
        <v>0</v>
      </c>
      <c r="S67" t="n">
        <v>0</v>
      </c>
      <c r="T67" t="n">
        <v>0</v>
      </c>
      <c r="U67" s="2" t="inlineStr"/>
    </row>
    <row r="68" ht="15" customHeight="1">
      <c r="A68" t="inlineStr">
        <is>
          <t>A 862-2022</t>
        </is>
      </c>
      <c r="B68" t="inlineStr">
        <is>
          <t>avverkningsanmälan</t>
        </is>
      </c>
      <c r="C68" t="inlineStr">
        <is>
          <t>Avverkning för annat ändamål</t>
        </is>
      </c>
      <c r="D68" s="1" t="n">
        <v>44571</v>
      </c>
      <c r="E68" s="1" t="n">
        <v>46222</v>
      </c>
      <c r="F68" t="inlineStr">
        <is>
          <t>STOCKHOLMS LÄN</t>
        </is>
      </c>
      <c r="G68" t="inlineStr">
        <is>
          <t>SIGTUNA</t>
        </is>
      </c>
      <c r="I68" t="n">
        <v>2.4</v>
      </c>
      <c r="J68" t="n">
        <v>0</v>
      </c>
      <c r="K68" t="n">
        <v>0</v>
      </c>
      <c r="L68" t="n">
        <v>0</v>
      </c>
      <c r="M68" t="n">
        <v>0</v>
      </c>
      <c r="N68" t="n">
        <v>0</v>
      </c>
      <c r="O68" t="n">
        <v>0</v>
      </c>
      <c r="P68" t="n">
        <v>0</v>
      </c>
      <c r="Q68" t="n">
        <v>0</v>
      </c>
      <c r="R68" t="n">
        <v>0</v>
      </c>
      <c r="S68" t="n">
        <v>0</v>
      </c>
      <c r="T68" t="n">
        <v>0</v>
      </c>
      <c r="U68" s="2" t="inlineStr"/>
    </row>
    <row r="69" ht="15" customHeight="1">
      <c r="A69" t="inlineStr">
        <is>
          <t>A 24636-2023</t>
        </is>
      </c>
      <c r="B69" t="inlineStr">
        <is>
          <t>avverkningsanmälan</t>
        </is>
      </c>
      <c r="C69" t="inlineStr">
        <is>
          <t>Föryngringsavverkning</t>
        </is>
      </c>
      <c r="D69" s="1" t="n">
        <v>45084</v>
      </c>
      <c r="E69" s="1" t="n">
        <v>46222</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s="2" t="inlineStr"/>
    </row>
    <row r="70" ht="15" customHeight="1">
      <c r="A70" t="inlineStr">
        <is>
          <t>A 273-2025</t>
        </is>
      </c>
      <c r="B70" t="inlineStr">
        <is>
          <t>avverkningsanmälan</t>
        </is>
      </c>
      <c r="C70" t="inlineStr">
        <is>
          <t>Avverkning för annat ändamål</t>
        </is>
      </c>
      <c r="D70" s="1" t="n">
        <v>45653</v>
      </c>
      <c r="E70" s="1" t="n">
        <v>46222</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s="2" t="inlineStr"/>
    </row>
    <row r="71" ht="15" customHeight="1">
      <c r="A71" t="inlineStr">
        <is>
          <t>A 31695-2022</t>
        </is>
      </c>
      <c r="B71" t="inlineStr">
        <is>
          <t>avverkningsanmälan</t>
        </is>
      </c>
      <c r="C71" t="inlineStr">
        <is>
          <t>Avverkning för att bevara och utveckla /försöksver</t>
        </is>
      </c>
      <c r="D71" s="1" t="n">
        <v>44776</v>
      </c>
      <c r="E71" s="1" t="n">
        <v>46222</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9856-2024</t>
        </is>
      </c>
      <c r="B72" t="inlineStr">
        <is>
          <t>avverkningsanmälan</t>
        </is>
      </c>
      <c r="C72" t="inlineStr">
        <is>
          <t>Avverkning för annat ändamål</t>
        </is>
      </c>
      <c r="D72" s="1" t="n">
        <v>45363</v>
      </c>
      <c r="E72" s="1" t="n">
        <v>46222</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s="2" t="inlineStr"/>
    </row>
    <row r="73" ht="15" customHeight="1">
      <c r="A73" t="inlineStr">
        <is>
          <t>A 59957-2023</t>
        </is>
      </c>
      <c r="B73" t="inlineStr">
        <is>
          <t>avverkningsanmälan</t>
        </is>
      </c>
      <c r="C73" t="inlineStr">
        <is>
          <t>Föryngringsavverkning</t>
        </is>
      </c>
      <c r="D73" s="1" t="n">
        <v>45257</v>
      </c>
      <c r="E73" s="1" t="n">
        <v>46222</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s="2" t="inlineStr"/>
    </row>
    <row r="74" ht="15" customHeight="1">
      <c r="A74" t="inlineStr">
        <is>
          <t>A 2496-2024</t>
        </is>
      </c>
      <c r="B74" t="inlineStr">
        <is>
          <t>avverkningsanmälan</t>
        </is>
      </c>
      <c r="C74" t="inlineStr">
        <is>
          <t>Föryngringsavverkning</t>
        </is>
      </c>
      <c r="D74" s="1" t="n">
        <v>45313</v>
      </c>
      <c r="E74" s="1" t="n">
        <v>46222</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s="2" t="inlineStr"/>
    </row>
    <row r="75" ht="15" customHeight="1">
      <c r="A75" t="inlineStr">
        <is>
          <t>A 35966-2024</t>
        </is>
      </c>
      <c r="B75" t="inlineStr">
        <is>
          <t>avverkningsanmälan</t>
        </is>
      </c>
      <c r="C75" t="inlineStr">
        <is>
          <t>Föryngringsavverkning</t>
        </is>
      </c>
      <c r="D75" s="1" t="n">
        <v>45533</v>
      </c>
      <c r="E75" s="1" t="n">
        <v>46222</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s="2" t="inlineStr"/>
    </row>
    <row r="76" ht="15" customHeight="1">
      <c r="A76" t="inlineStr">
        <is>
          <t>A 36179-2022</t>
        </is>
      </c>
      <c r="B76" t="inlineStr">
        <is>
          <t>avverkningsanmälan</t>
        </is>
      </c>
      <c r="C76" t="inlineStr">
        <is>
          <t>Föryngringsavverkning</t>
        </is>
      </c>
      <c r="D76" s="1" t="n">
        <v>44803</v>
      </c>
      <c r="E76" s="1" t="n">
        <v>46222</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s="2" t="inlineStr"/>
    </row>
    <row r="77" ht="15" customHeight="1">
      <c r="A77" t="inlineStr">
        <is>
          <t>A 36181-2022</t>
        </is>
      </c>
      <c r="B77" t="inlineStr">
        <is>
          <t>avverkningsanmälan</t>
        </is>
      </c>
      <c r="C77" t="inlineStr">
        <is>
          <t>Föryngringsavverkning</t>
        </is>
      </c>
      <c r="D77" s="1" t="n">
        <v>44803</v>
      </c>
      <c r="E77" s="1" t="n">
        <v>46222</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s="2" t="inlineStr"/>
    </row>
    <row r="78" ht="15" customHeight="1">
      <c r="A78" t="inlineStr">
        <is>
          <t>A 6826-2025</t>
        </is>
      </c>
      <c r="B78" t="inlineStr">
        <is>
          <t>avverkningsanmälan</t>
        </is>
      </c>
      <c r="C78" t="inlineStr">
        <is>
          <t>Avverkning för annat ändamål</t>
        </is>
      </c>
      <c r="D78" s="1" t="n">
        <v>45700</v>
      </c>
      <c r="E78" s="1" t="n">
        <v>46222</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s="2" t="inlineStr"/>
    </row>
    <row r="79" ht="15" customHeight="1">
      <c r="A79" t="inlineStr">
        <is>
          <t>A 22913-2026</t>
        </is>
      </c>
      <c r="B79" t="inlineStr">
        <is>
          <t>avverkningsanmälan</t>
        </is>
      </c>
      <c r="C79" t="inlineStr">
        <is>
          <t>Föryngringsavverkning</t>
        </is>
      </c>
      <c r="D79" s="1" t="n">
        <v>46159</v>
      </c>
      <c r="E79" s="1" t="n">
        <v>46222</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s="2" t="inlineStr"/>
    </row>
    <row r="80" ht="15" customHeight="1">
      <c r="A80" t="inlineStr">
        <is>
          <t>A 11285-2023</t>
        </is>
      </c>
      <c r="B80" t="inlineStr">
        <is>
          <t>avverkningsanmälan</t>
        </is>
      </c>
      <c r="C80" t="inlineStr">
        <is>
          <t>Föryngringsavverkning</t>
        </is>
      </c>
      <c r="D80" s="1" t="n">
        <v>44992</v>
      </c>
      <c r="E80" s="1" t="n">
        <v>46222</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s="2" t="inlineStr"/>
    </row>
    <row r="81" ht="15" customHeight="1">
      <c r="A81" t="inlineStr">
        <is>
          <t>A 60922-2023</t>
        </is>
      </c>
      <c r="B81" t="inlineStr">
        <is>
          <t>avverkningsanmälan</t>
        </is>
      </c>
      <c r="C81" t="inlineStr">
        <is>
          <t>Föryngringsavverkning</t>
        </is>
      </c>
      <c r="D81" s="1" t="n">
        <v>45261</v>
      </c>
      <c r="E81" s="1" t="n">
        <v>46222</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s="2" t="inlineStr"/>
    </row>
    <row r="82" ht="15" customHeight="1">
      <c r="A82" t="inlineStr">
        <is>
          <t>A 12931-2022</t>
        </is>
      </c>
      <c r="B82" t="inlineStr">
        <is>
          <t>avverkningsanmälan</t>
        </is>
      </c>
      <c r="C82" t="inlineStr">
        <is>
          <t>Föryngringsavverkning</t>
        </is>
      </c>
      <c r="D82" s="1" t="n">
        <v>44642</v>
      </c>
      <c r="E82" s="1" t="n">
        <v>46222</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s="2" t="inlineStr"/>
    </row>
    <row r="83" ht="15" customHeight="1">
      <c r="A83" t="inlineStr">
        <is>
          <t>A 41693-2022</t>
        </is>
      </c>
      <c r="B83" t="inlineStr">
        <is>
          <t>avverkningsanmälan</t>
        </is>
      </c>
      <c r="C83" t="inlineStr">
        <is>
          <t>Föryngringsavverkning</t>
        </is>
      </c>
      <c r="D83" s="1" t="n">
        <v>44827</v>
      </c>
      <c r="E83" s="1" t="n">
        <v>46222</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s="2" t="inlineStr"/>
    </row>
    <row r="84" ht="15" customHeight="1">
      <c r="A84" t="inlineStr">
        <is>
          <t>A 37392-2024</t>
        </is>
      </c>
      <c r="B84" t="inlineStr">
        <is>
          <t>avverkningsanmälan</t>
        </is>
      </c>
      <c r="C84" t="inlineStr">
        <is>
          <t>Föryngringsavverkning</t>
        </is>
      </c>
      <c r="D84" s="1" t="n">
        <v>45540</v>
      </c>
      <c r="E84" s="1" t="n">
        <v>46222</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s="2" t="inlineStr"/>
    </row>
    <row r="85" ht="15" customHeight="1">
      <c r="A85" t="inlineStr">
        <is>
          <t>A 38465-2023</t>
        </is>
      </c>
      <c r="B85" t="inlineStr">
        <is>
          <t>avverkningsanmälan</t>
        </is>
      </c>
      <c r="C85" t="inlineStr">
        <is>
          <t>Föryngringsavverkning</t>
        </is>
      </c>
      <c r="D85" s="1" t="n">
        <v>45162</v>
      </c>
      <c r="E85" s="1" t="n">
        <v>46222</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s="2" t="inlineStr"/>
    </row>
    <row r="86" ht="15" customHeight="1">
      <c r="A86" t="inlineStr">
        <is>
          <t>A 32424-2023</t>
        </is>
      </c>
      <c r="B86" t="inlineStr">
        <is>
          <t>avverkningsanmälan</t>
        </is>
      </c>
      <c r="C86" t="inlineStr">
        <is>
          <t>Föryngringsavverkning</t>
        </is>
      </c>
      <c r="D86" s="1" t="n">
        <v>45110</v>
      </c>
      <c r="E86" s="1" t="n">
        <v>46222</v>
      </c>
      <c r="F86" t="inlineStr">
        <is>
          <t>STOCKHOLMS LÄN</t>
        </is>
      </c>
      <c r="G86" t="inlineStr">
        <is>
          <t>SIGTUNA</t>
        </is>
      </c>
      <c r="I86" t="n">
        <v>2.5</v>
      </c>
      <c r="J86" t="n">
        <v>0</v>
      </c>
      <c r="K86" t="n">
        <v>0</v>
      </c>
      <c r="L86" t="n">
        <v>0</v>
      </c>
      <c r="M86" t="n">
        <v>0</v>
      </c>
      <c r="N86" t="n">
        <v>0</v>
      </c>
      <c r="O86" t="n">
        <v>0</v>
      </c>
      <c r="P86" t="n">
        <v>0</v>
      </c>
      <c r="Q86" t="n">
        <v>0</v>
      </c>
      <c r="R86" t="n">
        <v>0</v>
      </c>
      <c r="S86" t="n">
        <v>0</v>
      </c>
      <c r="T86" t="n">
        <v>0</v>
      </c>
      <c r="U86" s="2" t="inlineStr"/>
    </row>
    <row r="87" ht="15" customHeight="1">
      <c r="A87" t="inlineStr">
        <is>
          <t>A 31684-2022</t>
        </is>
      </c>
      <c r="B87" t="inlineStr">
        <is>
          <t>avverkningsanmälan</t>
        </is>
      </c>
      <c r="C87" t="inlineStr">
        <is>
          <t>Avverkning för att bevara och utveckla /försöksver</t>
        </is>
      </c>
      <c r="D87" s="1" t="n">
        <v>44776</v>
      </c>
      <c r="E87" s="1" t="n">
        <v>46222</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s="2" t="inlineStr"/>
    </row>
    <row r="88" ht="15" customHeight="1">
      <c r="A88" t="inlineStr">
        <is>
          <t>A 32426-2023</t>
        </is>
      </c>
      <c r="B88" t="inlineStr">
        <is>
          <t>avverkningsanmälan</t>
        </is>
      </c>
      <c r="C88" t="inlineStr">
        <is>
          <t>Föryngringsavverkning</t>
        </is>
      </c>
      <c r="D88" s="1" t="n">
        <v>45110</v>
      </c>
      <c r="E88" s="1" t="n">
        <v>46222</v>
      </c>
      <c r="F88" t="inlineStr">
        <is>
          <t>STOCKHOLMS LÄN</t>
        </is>
      </c>
      <c r="G88" t="inlineStr">
        <is>
          <t>SIGTUNA</t>
        </is>
      </c>
      <c r="I88" t="n">
        <v>3.1</v>
      </c>
      <c r="J88" t="n">
        <v>0</v>
      </c>
      <c r="K88" t="n">
        <v>0</v>
      </c>
      <c r="L88" t="n">
        <v>0</v>
      </c>
      <c r="M88" t="n">
        <v>0</v>
      </c>
      <c r="N88" t="n">
        <v>0</v>
      </c>
      <c r="O88" t="n">
        <v>0</v>
      </c>
      <c r="P88" t="n">
        <v>0</v>
      </c>
      <c r="Q88" t="n">
        <v>0</v>
      </c>
      <c r="R88" t="n">
        <v>0</v>
      </c>
      <c r="S88" t="n">
        <v>0</v>
      </c>
      <c r="T88" t="n">
        <v>0</v>
      </c>
      <c r="U88" s="2" t="inlineStr"/>
    </row>
    <row r="89" ht="15" customHeight="1">
      <c r="A89" t="inlineStr">
        <is>
          <t>A 60865-2024</t>
        </is>
      </c>
      <c r="B89" t="inlineStr">
        <is>
          <t>avverkningsanmälan</t>
        </is>
      </c>
      <c r="C89" t="inlineStr">
        <is>
          <t>Föryngringsavverkning</t>
        </is>
      </c>
      <c r="D89" s="1" t="n">
        <v>45644</v>
      </c>
      <c r="E89" s="1" t="n">
        <v>46222</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s="2" t="inlineStr"/>
    </row>
    <row r="90" ht="15" customHeight="1">
      <c r="A90" t="inlineStr">
        <is>
          <t>A 9120-2025</t>
        </is>
      </c>
      <c r="B90" t="inlineStr">
        <is>
          <t>avverkningsanmälan</t>
        </is>
      </c>
      <c r="C90" t="inlineStr">
        <is>
          <t>Föryngringsavverkning</t>
        </is>
      </c>
      <c r="D90" s="1" t="n">
        <v>45713</v>
      </c>
      <c r="E90" s="1" t="n">
        <v>46222</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s="2" t="inlineStr"/>
    </row>
    <row r="91" ht="15" customHeight="1">
      <c r="A91" t="inlineStr">
        <is>
          <t>A 24967-2024</t>
        </is>
      </c>
      <c r="B91" t="inlineStr">
        <is>
          <t>avverkningsanmälan</t>
        </is>
      </c>
      <c r="C91" t="inlineStr">
        <is>
          <t>Föryngringsavverkning</t>
        </is>
      </c>
      <c r="D91" s="1" t="n">
        <v>45461</v>
      </c>
      <c r="E91" s="1" t="n">
        <v>46222</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s="2" t="inlineStr"/>
    </row>
    <row r="92" ht="15" customHeight="1">
      <c r="A92" t="inlineStr">
        <is>
          <t>A 43158-2024</t>
        </is>
      </c>
      <c r="B92" t="inlineStr">
        <is>
          <t>avverkningsanmälan</t>
        </is>
      </c>
      <c r="C92" t="inlineStr">
        <is>
          <t>Föryngringsavverkning</t>
        </is>
      </c>
      <c r="D92" s="1" t="n">
        <v>45567</v>
      </c>
      <c r="E92" s="1" t="n">
        <v>46222</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s="2" t="inlineStr"/>
    </row>
    <row r="93" ht="15" customHeight="1">
      <c r="A93" t="inlineStr">
        <is>
          <t>A 24946-2024</t>
        </is>
      </c>
      <c r="B93" t="inlineStr">
        <is>
          <t>avverkningsanmälan</t>
        </is>
      </c>
      <c r="C93" t="inlineStr">
        <is>
          <t>Föryngringsavverkning</t>
        </is>
      </c>
      <c r="D93" s="1" t="n">
        <v>45461</v>
      </c>
      <c r="E93" s="1" t="n">
        <v>46222</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s="2" t="inlineStr"/>
    </row>
    <row r="94" ht="15" customHeight="1">
      <c r="A94" t="inlineStr">
        <is>
          <t>A 3890-2025</t>
        </is>
      </c>
      <c r="B94" t="inlineStr">
        <is>
          <t>avverkningsanmälan</t>
        </is>
      </c>
      <c r="C94" t="inlineStr">
        <is>
          <t>Föryngringsavverkning</t>
        </is>
      </c>
      <c r="D94" s="1" t="n">
        <v>45684</v>
      </c>
      <c r="E94" s="1" t="n">
        <v>46222</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s="2" t="inlineStr"/>
    </row>
    <row r="95" ht="15" customHeight="1">
      <c r="A95" t="inlineStr">
        <is>
          <t>A 21513-2025</t>
        </is>
      </c>
      <c r="B95" t="inlineStr">
        <is>
          <t>avverkningsanmälan</t>
        </is>
      </c>
      <c r="C95" t="inlineStr">
        <is>
          <t>Föryngringsavverkning</t>
        </is>
      </c>
      <c r="D95" s="1" t="n">
        <v>45782</v>
      </c>
      <c r="E95" s="1" t="n">
        <v>46222</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s="2" t="inlineStr"/>
    </row>
    <row r="96" ht="15" customHeight="1">
      <c r="A96" t="inlineStr">
        <is>
          <t>A 48375-2024</t>
        </is>
      </c>
      <c r="B96" t="inlineStr">
        <is>
          <t>avverkningsanmälan</t>
        </is>
      </c>
      <c r="C96" t="inlineStr">
        <is>
          <t>Föryngringsavverkning</t>
        </is>
      </c>
      <c r="D96" s="1" t="n">
        <v>45590</v>
      </c>
      <c r="E96" s="1" t="n">
        <v>46222</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s="2" t="inlineStr"/>
    </row>
    <row r="97" ht="15" customHeight="1">
      <c r="A97" t="inlineStr">
        <is>
          <t>A 22402-2025</t>
        </is>
      </c>
      <c r="B97" t="inlineStr">
        <is>
          <t>avverkningsanmälan</t>
        </is>
      </c>
      <c r="C97" t="inlineStr">
        <is>
          <t>Föryngringsavverkning</t>
        </is>
      </c>
      <c r="D97" s="1" t="n">
        <v>45786</v>
      </c>
      <c r="E97" s="1" t="n">
        <v>46222</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s="2" t="inlineStr"/>
    </row>
    <row r="98" ht="15" customHeight="1">
      <c r="A98" t="inlineStr">
        <is>
          <t>A 35961-2024</t>
        </is>
      </c>
      <c r="B98" t="inlineStr">
        <is>
          <t>avverkningsanmälan</t>
        </is>
      </c>
      <c r="C98" t="inlineStr">
        <is>
          <t>Föryngringsavverkning</t>
        </is>
      </c>
      <c r="D98" s="1" t="n">
        <v>45533</v>
      </c>
      <c r="E98" s="1" t="n">
        <v>46222</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s="2" t="inlineStr"/>
    </row>
    <row r="99" ht="15" customHeight="1">
      <c r="A99" t="inlineStr">
        <is>
          <t>A 19031-2024</t>
        </is>
      </c>
      <c r="B99" t="inlineStr">
        <is>
          <t>avverkningsanmälan</t>
        </is>
      </c>
      <c r="C99" t="inlineStr">
        <is>
          <t>Avverkning för annat ändamål</t>
        </is>
      </c>
      <c r="D99" s="1" t="n">
        <v>45427</v>
      </c>
      <c r="E99" s="1" t="n">
        <v>46222</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s="2" t="inlineStr"/>
    </row>
    <row r="100" ht="15" customHeight="1">
      <c r="A100" t="inlineStr">
        <is>
          <t>A 24105-2025</t>
        </is>
      </c>
      <c r="B100" t="inlineStr">
        <is>
          <t>avverkningsanmälan</t>
        </is>
      </c>
      <c r="C100" t="inlineStr">
        <is>
          <t>Föryngringsavverkning</t>
        </is>
      </c>
      <c r="D100" s="1" t="n">
        <v>45796</v>
      </c>
      <c r="E100" s="1" t="n">
        <v>46222</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s="2" t="inlineStr"/>
    </row>
    <row r="101">
      <c r="A101" t="inlineStr">
        <is>
          <t>A 60934-2023</t>
        </is>
      </c>
      <c r="B101" t="inlineStr">
        <is>
          <t>avverkningsanmälan</t>
        </is>
      </c>
      <c r="C101" t="inlineStr">
        <is>
          <t>Föryngringsavverkning</t>
        </is>
      </c>
      <c r="D101" s="1" t="n">
        <v>45261</v>
      </c>
      <c r="E101" s="1" t="n">
        <v>46222</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2026-07-19T01:34:24Z</dcterms:created>
  <dcterms:modified xmlns:dcterms="http://purl.org/dc/terms/" xmlns:xsi="http://www.w3.org/2001/XMLSchema-instance" xsi:type="dcterms:W3CDTF">2026-07-19T01:34:24Z</dcterms:modified>
</cp:coreProperties>
</file>
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45739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27425-2023</t>
        </is>
      </c>
      <c r="B3" s="1" t="n">
        <v>45097</v>
      </c>
      <c r="C3" s="1" t="n">
        <v>45739</v>
      </c>
      <c r="D3" t="inlineStr">
        <is>
          <t>STOCKHOLMS LÄN</t>
        </is>
      </c>
      <c r="E3" t="inlineStr">
        <is>
          <t>SIGTUNA</t>
        </is>
      </c>
      <c r="F3" t="inlineStr">
        <is>
          <t>Allmännings- och besparingsskogar</t>
        </is>
      </c>
      <c r="G3" t="n">
        <v>9.300000000000001</v>
      </c>
      <c r="H3" t="n">
        <v>13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Brunlångöra
Gulsparv
Nordfladdermus
Talltita
Dvärgpipistrell
Grönsiska
Järnsparv
Kungsfågel
Skogsduva
Större brunfladdermus
Trollpipistrell
Vattenfladdermus
Blåsippa</t>
        </is>
      </c>
      <c r="S3">
        <f>HYPERLINK("https://klasma.github.io/Logging_0191/artfynd/A 27425-2023 artfynd.xlsx", "A 27425-2023")</f>
        <v/>
      </c>
      <c r="T3">
        <f>HYPERLINK("https://klasma.github.io/Logging_0191/kartor/A 27425-2023 karta.png", "A 27425-2023")</f>
        <v/>
      </c>
      <c r="V3">
        <f>HYPERLINK("https://klasma.github.io/Logging_0191/klagomål/A 27425-2023 FSC-klagomål.docx", "A 27425-2023")</f>
        <v/>
      </c>
      <c r="W3">
        <f>HYPERLINK("https://klasma.github.io/Logging_0191/klagomålsmail/A 27425-2023 FSC-klagomål mail.docx", "A 27425-2023")</f>
        <v/>
      </c>
      <c r="X3">
        <f>HYPERLINK("https://klasma.github.io/Logging_0191/tillsyn/A 27425-2023 tillsynsbegäran.docx", "A 27425-2023")</f>
        <v/>
      </c>
      <c r="Y3">
        <f>HYPERLINK("https://klasma.github.io/Logging_0191/tillsynsmail/A 27425-2023 tillsynsbegäran mail.docx", "A 27425-2023")</f>
        <v/>
      </c>
      <c r="Z3">
        <f>HYPERLINK("https://klasma.github.io/Logging_0191/fåglar/A 27425-2023 prioriterade fågelarter.docx", "A 27425-2023")</f>
        <v/>
      </c>
    </row>
    <row r="4" ht="15" customHeight="1">
      <c r="A4" t="inlineStr">
        <is>
          <t>A 20030-2020</t>
        </is>
      </c>
      <c r="B4" s="1" t="n">
        <v>43942</v>
      </c>
      <c r="C4" s="1" t="n">
        <v>45739</v>
      </c>
      <c r="D4" t="inlineStr">
        <is>
          <t>STOCKHOLMS LÄN</t>
        </is>
      </c>
      <c r="E4" t="inlineStr">
        <is>
          <t>SIGTUNA</t>
        </is>
      </c>
      <c r="G4" t="n">
        <v>11.5</v>
      </c>
      <c r="H4" t="n">
        <v>10</v>
      </c>
      <c r="I4" t="n">
        <v>1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11</v>
      </c>
      <c r="R4" s="2" t="inlineStr">
        <is>
          <t>Grönfink
Tofsvipa
Spillkråka
Svartvit flugsnappare
Talltita
Vågbandad barkbock
Gröngöling
Grönsiska
Järnsparv
Kungsfågel
Blåsippa</t>
        </is>
      </c>
      <c r="S4">
        <f>HYPERLINK("https://klasma.github.io/Logging_0191/artfynd/A 20030-2020 artfynd.xlsx", "A 20030-2020")</f>
        <v/>
      </c>
      <c r="T4">
        <f>HYPERLINK("https://klasma.github.io/Logging_0191/kartor/A 20030-2020 karta.png", "A 20030-2020")</f>
        <v/>
      </c>
      <c r="V4">
        <f>HYPERLINK("https://klasma.github.io/Logging_0191/klagomål/A 20030-2020 FSC-klagomål.docx", "A 20030-2020")</f>
        <v/>
      </c>
      <c r="W4">
        <f>HYPERLINK("https://klasma.github.io/Logging_0191/klagomålsmail/A 20030-2020 FSC-klagomål mail.docx", "A 20030-2020")</f>
        <v/>
      </c>
      <c r="X4">
        <f>HYPERLINK("https://klasma.github.io/Logging_0191/tillsyn/A 20030-2020 tillsynsbegäran.docx", "A 20030-2020")</f>
        <v/>
      </c>
      <c r="Y4">
        <f>HYPERLINK("https://klasma.github.io/Logging_0191/tillsynsmail/A 20030-2020 tillsynsbegäran mail.docx", "A 20030-2020")</f>
        <v/>
      </c>
      <c r="Z4">
        <f>HYPERLINK("https://klasma.github.io/Logging_0191/fåglar/A 20030-2020 prioriterade fågelarter.docx", "A 20030-2020")</f>
        <v/>
      </c>
    </row>
    <row r="5" ht="15" customHeight="1">
      <c r="A5" t="inlineStr">
        <is>
          <t>A 60838-2021</t>
        </is>
      </c>
      <c r="B5" s="1" t="n">
        <v>44497</v>
      </c>
      <c r="C5" s="1" t="n">
        <v>45739</v>
      </c>
      <c r="D5" t="inlineStr">
        <is>
          <t>STOCKHOLMS LÄN</t>
        </is>
      </c>
      <c r="E5" t="inlineStr">
        <is>
          <t>SIGTUNA</t>
        </is>
      </c>
      <c r="G5" t="n">
        <v>13.7</v>
      </c>
      <c r="H5" t="n">
        <v>11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Björktrast
Blå kärrhök
Duvhök
Gulsparv
Rödvingetrast
Skrattmås
Grönsiska
Kungsfågel
Nattskärra
Trädlärka
Törnskata</t>
        </is>
      </c>
      <c r="S5">
        <f>HYPERLINK("https://klasma.github.io/Logging_0191/artfynd/A 60838-2021 artfynd.xlsx", "A 60838-2021")</f>
        <v/>
      </c>
      <c r="T5">
        <f>HYPERLINK("https://klasma.github.io/Logging_0191/kartor/A 60838-2021 karta.png", "A 60838-2021")</f>
        <v/>
      </c>
      <c r="V5">
        <f>HYPERLINK("https://klasma.github.io/Logging_0191/klagomål/A 60838-2021 FSC-klagomål.docx", "A 60838-2021")</f>
        <v/>
      </c>
      <c r="W5">
        <f>HYPERLINK("https://klasma.github.io/Logging_0191/klagomålsmail/A 60838-2021 FSC-klagomål mail.docx", "A 60838-2021")</f>
        <v/>
      </c>
      <c r="X5">
        <f>HYPERLINK("https://klasma.github.io/Logging_0191/tillsyn/A 60838-2021 tillsynsbegäran.docx", "A 60838-2021")</f>
        <v/>
      </c>
      <c r="Y5">
        <f>HYPERLINK("https://klasma.github.io/Logging_0191/tillsynsmail/A 60838-2021 tillsynsbegäran mail.docx", "A 60838-2021")</f>
        <v/>
      </c>
      <c r="Z5">
        <f>HYPERLINK("https://klasma.github.io/Logging_0191/fåglar/A 60838-2021 prioriterade fågelarter.docx", "A 60838-2021")</f>
        <v/>
      </c>
    </row>
    <row r="6" ht="15" customHeight="1">
      <c r="A6" t="inlineStr">
        <is>
          <t>A 57943-2022</t>
        </is>
      </c>
      <c r="B6" s="1" t="n">
        <v>44900</v>
      </c>
      <c r="C6" s="1" t="n">
        <v>45739</v>
      </c>
      <c r="D6" t="inlineStr">
        <is>
          <t>STOCKHOLMS LÄN</t>
        </is>
      </c>
      <c r="E6" t="inlineStr">
        <is>
          <t>SIGTUNA</t>
        </is>
      </c>
      <c r="G6" t="n">
        <v>15</v>
      </c>
      <c r="H6" t="n">
        <v>9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11</v>
      </c>
      <c r="R6" s="2" t="inlineStr">
        <is>
          <t>Nordfladdermus
Spillkråka
Thomsons trägnagare
Vanlig flatbagge
Dvärgpipistrell
Grönsiska
Järnsparv
Kungsfågel
Större brunfladdermus
Skogsödla
Gullviva</t>
        </is>
      </c>
      <c r="S6">
        <f>HYPERLINK("https://klasma.github.io/Logging_0191/artfynd/A 57943-2022 artfynd.xlsx", "A 57943-2022")</f>
        <v/>
      </c>
      <c r="T6">
        <f>HYPERLINK("https://klasma.github.io/Logging_0191/kartor/A 57943-2022 karta.png", "A 57943-2022")</f>
        <v/>
      </c>
      <c r="V6">
        <f>HYPERLINK("https://klasma.github.io/Logging_0191/klagomål/A 57943-2022 FSC-klagomål.docx", "A 57943-2022")</f>
        <v/>
      </c>
      <c r="W6">
        <f>HYPERLINK("https://klasma.github.io/Logging_0191/klagomålsmail/A 57943-2022 FSC-klagomål mail.docx", "A 57943-2022")</f>
        <v/>
      </c>
      <c r="X6">
        <f>HYPERLINK("https://klasma.github.io/Logging_0191/tillsyn/A 57943-2022 tillsynsbegäran.docx", "A 57943-2022")</f>
        <v/>
      </c>
      <c r="Y6">
        <f>HYPERLINK("https://klasma.github.io/Logging_0191/tillsynsmail/A 57943-2022 tillsynsbegäran mail.docx", "A 57943-2022")</f>
        <v/>
      </c>
      <c r="Z6">
        <f>HYPERLINK("https://klasma.github.io/Logging_0191/fåglar/A 57943-2022 prioriterade fågelarter.docx", "A 57943-2022")</f>
        <v/>
      </c>
    </row>
    <row r="7" ht="15" customHeight="1">
      <c r="A7" t="inlineStr">
        <is>
          <t>A 58658-2023</t>
        </is>
      </c>
      <c r="B7" s="1" t="n">
        <v>45251</v>
      </c>
      <c r="C7" s="1" t="n">
        <v>45739</v>
      </c>
      <c r="D7" t="inlineStr">
        <is>
          <t>STOCKHOLMS LÄN</t>
        </is>
      </c>
      <c r="E7" t="inlineStr">
        <is>
          <t>SIGTUNA</t>
        </is>
      </c>
      <c r="F7" t="inlineStr">
        <is>
          <t>Kommuner</t>
        </is>
      </c>
      <c r="G7" t="n">
        <v>4.8</v>
      </c>
      <c r="H7" t="n">
        <v>5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9</v>
      </c>
      <c r="R7" s="2" t="inlineStr">
        <is>
          <t>Aspborre
Entita
Grön aspvedbock
Spillkråka
Granbarkgnagare
Myskbock
Skogsödla
Blåsippa
Gullviva</t>
        </is>
      </c>
      <c r="S7">
        <f>HYPERLINK("https://klasma.github.io/Logging_0191/artfynd/A 58658-2023 artfynd.xlsx", "A 58658-2023")</f>
        <v/>
      </c>
      <c r="T7">
        <f>HYPERLINK("https://klasma.github.io/Logging_0191/kartor/A 58658-2023 karta.png", "A 58658-2023")</f>
        <v/>
      </c>
      <c r="V7">
        <f>HYPERLINK("https://klasma.github.io/Logging_0191/klagomål/A 58658-2023 FSC-klagomål.docx", "A 58658-2023")</f>
        <v/>
      </c>
      <c r="W7">
        <f>HYPERLINK("https://klasma.github.io/Logging_0191/klagomålsmail/A 58658-2023 FSC-klagomål mail.docx", "A 58658-2023")</f>
        <v/>
      </c>
      <c r="X7">
        <f>HYPERLINK("https://klasma.github.io/Logging_0191/tillsyn/A 58658-2023 tillsynsbegäran.docx", "A 58658-2023")</f>
        <v/>
      </c>
      <c r="Y7">
        <f>HYPERLINK("https://klasma.github.io/Logging_0191/tillsynsmail/A 58658-2023 tillsynsbegäran mail.docx", "A 58658-2023")</f>
        <v/>
      </c>
      <c r="Z7">
        <f>HYPERLINK("https://klasma.github.io/Logging_0191/fåglar/A 58658-2023 prioriterade fågelarter.docx", "A 58658-2023")</f>
        <v/>
      </c>
    </row>
    <row r="8" ht="15" customHeight="1">
      <c r="A8" t="inlineStr">
        <is>
          <t>A 36440-2024</t>
        </is>
      </c>
      <c r="B8" s="1" t="n">
        <v>45535</v>
      </c>
      <c r="C8" s="1" t="n">
        <v>45739</v>
      </c>
      <c r="D8" t="inlineStr">
        <is>
          <t>STOCKHOLMS LÄN</t>
        </is>
      </c>
      <c r="E8" t="inlineStr">
        <is>
          <t>SIGTUNA</t>
        </is>
      </c>
      <c r="G8" t="n">
        <v>15.2</v>
      </c>
      <c r="H8" t="n">
        <v>7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9</v>
      </c>
      <c r="R8" s="2" t="inlineStr">
        <is>
          <t>Gulsparv
Talltita
Ärtsångare
Bronshjon
Granbarkgnagare
Grönsiska
Kungsfågel
Vanlig padda
Revlummer</t>
        </is>
      </c>
      <c r="S8">
        <f>HYPERLINK("https://klasma.github.io/Logging_0191/artfynd/A 36440-2024 artfynd.xlsx", "A 36440-2024")</f>
        <v/>
      </c>
      <c r="T8">
        <f>HYPERLINK("https://klasma.github.io/Logging_0191/kartor/A 36440-2024 karta.png", "A 36440-2024")</f>
        <v/>
      </c>
      <c r="V8">
        <f>HYPERLINK("https://klasma.github.io/Logging_0191/klagomål/A 36440-2024 FSC-klagomål.docx", "A 36440-2024")</f>
        <v/>
      </c>
      <c r="W8">
        <f>HYPERLINK("https://klasma.github.io/Logging_0191/klagomålsmail/A 36440-2024 FSC-klagomål mail.docx", "A 36440-2024")</f>
        <v/>
      </c>
      <c r="X8">
        <f>HYPERLINK("https://klasma.github.io/Logging_0191/tillsyn/A 36440-2024 tillsynsbegäran.docx", "A 36440-2024")</f>
        <v/>
      </c>
      <c r="Y8">
        <f>HYPERLINK("https://klasma.github.io/Logging_0191/tillsynsmail/A 36440-2024 tillsynsbegäran mail.docx", "A 36440-2024")</f>
        <v/>
      </c>
      <c r="Z8">
        <f>HYPERLINK("https://klasma.github.io/Logging_0191/fåglar/A 36440-2024 prioriterade fågelarter.docx", "A 36440-2024")</f>
        <v/>
      </c>
    </row>
    <row r="9" ht="15" customHeight="1">
      <c r="A9" t="inlineStr">
        <is>
          <t>A 10000-2022</t>
        </is>
      </c>
      <c r="B9" s="1" t="n">
        <v>44621</v>
      </c>
      <c r="C9" s="1" t="n">
        <v>45739</v>
      </c>
      <c r="D9" t="inlineStr">
        <is>
          <t>STOCKHOLMS LÄN</t>
        </is>
      </c>
      <c r="E9" t="inlineStr">
        <is>
          <t>SIGTUNA</t>
        </is>
      </c>
      <c r="G9" t="n">
        <v>15.3</v>
      </c>
      <c r="H9" t="n">
        <v>7</v>
      </c>
      <c r="I9" t="n">
        <v>0</v>
      </c>
      <c r="J9" t="n">
        <v>3</v>
      </c>
      <c r="K9" t="n">
        <v>2</v>
      </c>
      <c r="L9" t="n">
        <v>1</v>
      </c>
      <c r="M9" t="n">
        <v>0</v>
      </c>
      <c r="N9" t="n">
        <v>0</v>
      </c>
      <c r="O9" t="n">
        <v>6</v>
      </c>
      <c r="P9" t="n">
        <v>3</v>
      </c>
      <c r="Q9" t="n">
        <v>7</v>
      </c>
      <c r="R9" s="2" t="inlineStr">
        <is>
          <t>Tornseglare
Hussvala
Vinterhämpling
Fiskmås
Gulsparv
Ärtsångare
Grönsiska</t>
        </is>
      </c>
      <c r="S9">
        <f>HYPERLINK("https://klasma.github.io/Logging_0191/artfynd/A 10000-2022 artfynd.xlsx", "A 10000-2022")</f>
        <v/>
      </c>
      <c r="T9">
        <f>HYPERLINK("https://klasma.github.io/Logging_0191/kartor/A 10000-2022 karta.png", "A 10000-2022")</f>
        <v/>
      </c>
      <c r="V9">
        <f>HYPERLINK("https://klasma.github.io/Logging_0191/klagomål/A 10000-2022 FSC-klagomål.docx", "A 10000-2022")</f>
        <v/>
      </c>
      <c r="W9">
        <f>HYPERLINK("https://klasma.github.io/Logging_0191/klagomålsmail/A 10000-2022 FSC-klagomål mail.docx", "A 10000-2022")</f>
        <v/>
      </c>
      <c r="X9">
        <f>HYPERLINK("https://klasma.github.io/Logging_0191/tillsyn/A 10000-2022 tillsynsbegäran.docx", "A 10000-2022")</f>
        <v/>
      </c>
      <c r="Y9">
        <f>HYPERLINK("https://klasma.github.io/Logging_0191/tillsynsmail/A 10000-2022 tillsynsbegäran mail.docx", "A 10000-2022")</f>
        <v/>
      </c>
      <c r="Z9">
        <f>HYPERLINK("https://klasma.github.io/Logging_0191/fåglar/A 10000-2022 prioriterade fågelarter.docx", "A 10000-2022")</f>
        <v/>
      </c>
    </row>
    <row r="10" ht="15" customHeight="1">
      <c r="A10" t="inlineStr">
        <is>
          <t>A 39613-2023</t>
        </is>
      </c>
      <c r="B10" s="1" t="n">
        <v>45163</v>
      </c>
      <c r="C10" s="1" t="n">
        <v>45739</v>
      </c>
      <c r="D10" t="inlineStr">
        <is>
          <t>STOCKHOLMS LÄN</t>
        </is>
      </c>
      <c r="E10" t="inlineStr">
        <is>
          <t>SIGTUNA</t>
        </is>
      </c>
      <c r="G10" t="n">
        <v>15.2</v>
      </c>
      <c r="H10" t="n">
        <v>5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Talltita
Kornig nållav
Grönsiska
Kungsfågel
Vanlig padda
Revlummer</t>
        </is>
      </c>
      <c r="S10">
        <f>HYPERLINK("https://klasma.github.io/Logging_0191/artfynd/A 39613-2023 artfynd.xlsx", "A 39613-2023")</f>
        <v/>
      </c>
      <c r="T10">
        <f>HYPERLINK("https://klasma.github.io/Logging_0191/kartor/A 39613-2023 karta.png", "A 39613-2023")</f>
        <v/>
      </c>
      <c r="V10">
        <f>HYPERLINK("https://klasma.github.io/Logging_0191/klagomål/A 39613-2023 FSC-klagomål.docx", "A 39613-2023")</f>
        <v/>
      </c>
      <c r="W10">
        <f>HYPERLINK("https://klasma.github.io/Logging_0191/klagomålsmail/A 39613-2023 FSC-klagomål mail.docx", "A 39613-2023")</f>
        <v/>
      </c>
      <c r="X10">
        <f>HYPERLINK("https://klasma.github.io/Logging_0191/tillsyn/A 39613-2023 tillsynsbegäran.docx", "A 39613-2023")</f>
        <v/>
      </c>
      <c r="Y10">
        <f>HYPERLINK("https://klasma.github.io/Logging_0191/tillsynsmail/A 39613-2023 tillsynsbegäran mail.docx", "A 39613-2023")</f>
        <v/>
      </c>
      <c r="Z10">
        <f>HYPERLINK("https://klasma.github.io/Logging_0191/fåglar/A 39613-2023 prioriterade fågelarter.docx", "A 39613-2023")</f>
        <v/>
      </c>
    </row>
    <row r="11" ht="15" customHeight="1">
      <c r="A11" t="inlineStr">
        <is>
          <t>A 39620-2023</t>
        </is>
      </c>
      <c r="B11" s="1" t="n">
        <v>45163</v>
      </c>
      <c r="C11" s="1" t="n">
        <v>45739</v>
      </c>
      <c r="D11" t="inlineStr">
        <is>
          <t>STOCKHOLMS LÄN</t>
        </is>
      </c>
      <c r="E11" t="inlineStr">
        <is>
          <t>SIGTUNA</t>
        </is>
      </c>
      <c r="G11" t="n">
        <v>2</v>
      </c>
      <c r="H11" t="n">
        <v>6</v>
      </c>
      <c r="I11" t="n">
        <v>0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Grönfink
Duvhök
Talltita
Gröngöling
Grönsiska
Kungsfågel</t>
        </is>
      </c>
      <c r="S11">
        <f>HYPERLINK("https://klasma.github.io/Logging_0191/artfynd/A 39620-2023 artfynd.xlsx", "A 39620-2023")</f>
        <v/>
      </c>
      <c r="T11">
        <f>HYPERLINK("https://klasma.github.io/Logging_0191/kartor/A 39620-2023 karta.png", "A 39620-2023")</f>
        <v/>
      </c>
      <c r="V11">
        <f>HYPERLINK("https://klasma.github.io/Logging_0191/klagomål/A 39620-2023 FSC-klagomål.docx", "A 39620-2023")</f>
        <v/>
      </c>
      <c r="W11">
        <f>HYPERLINK("https://klasma.github.io/Logging_0191/klagomålsmail/A 39620-2023 FSC-klagomål mail.docx", "A 39620-2023")</f>
        <v/>
      </c>
      <c r="X11">
        <f>HYPERLINK("https://klasma.github.io/Logging_0191/tillsyn/A 39620-2023 tillsynsbegäran.docx", "A 39620-2023")</f>
        <v/>
      </c>
      <c r="Y11">
        <f>HYPERLINK("https://klasma.github.io/Logging_0191/tillsynsmail/A 39620-2023 tillsynsbegäran mail.docx", "A 39620-2023")</f>
        <v/>
      </c>
      <c r="Z11">
        <f>HYPERLINK("https://klasma.github.io/Logging_0191/fåglar/A 39620-2023 prioriterade fågelarter.docx", "A 39620-2023")</f>
        <v/>
      </c>
    </row>
    <row r="12" ht="15" customHeight="1">
      <c r="A12" t="inlineStr">
        <is>
          <t>A 38537-2023</t>
        </is>
      </c>
      <c r="B12" s="1" t="n">
        <v>45162</v>
      </c>
      <c r="C12" s="1" t="n">
        <v>45739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7.1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Grönsångare
Gulsparv
Svartvit flugsnappare
Grönsiska
Kungsfågel</t>
        </is>
      </c>
      <c r="S12">
        <f>HYPERLINK("https://klasma.github.io/Logging_0191/artfynd/A 38537-2023 artfynd.xlsx", "A 38537-2023")</f>
        <v/>
      </c>
      <c r="T12">
        <f>HYPERLINK("https://klasma.github.io/Logging_0191/kartor/A 38537-2023 karta.png", "A 38537-2023")</f>
        <v/>
      </c>
      <c r="V12">
        <f>HYPERLINK("https://klasma.github.io/Logging_0191/klagomål/A 38537-2023 FSC-klagomål.docx", "A 38537-2023")</f>
        <v/>
      </c>
      <c r="W12">
        <f>HYPERLINK("https://klasma.github.io/Logging_0191/klagomålsmail/A 38537-2023 FSC-klagomål mail.docx", "A 38537-2023")</f>
        <v/>
      </c>
      <c r="X12">
        <f>HYPERLINK("https://klasma.github.io/Logging_0191/tillsyn/A 38537-2023 tillsynsbegäran.docx", "A 38537-2023")</f>
        <v/>
      </c>
      <c r="Y12">
        <f>HYPERLINK("https://klasma.github.io/Logging_0191/tillsynsmail/A 38537-2023 tillsynsbegäran mail.docx", "A 38537-2023")</f>
        <v/>
      </c>
      <c r="Z12">
        <f>HYPERLINK("https://klasma.github.io/Logging_0191/fåglar/A 38537-2023 prioriterade fågelarter.docx", "A 38537-2023")</f>
        <v/>
      </c>
    </row>
    <row r="13" ht="15" customHeight="1">
      <c r="A13" t="inlineStr">
        <is>
          <t>A 38554-2023</t>
        </is>
      </c>
      <c r="B13" s="1" t="n">
        <v>45162</v>
      </c>
      <c r="C13" s="1" t="n">
        <v>45739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3.1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Bronshjon
Fjällig taggsvamp s.str.
Vågbandad barkbock
Gröngöling
Kungsfågel</t>
        </is>
      </c>
      <c r="S13">
        <f>HYPERLINK("https://klasma.github.io/Logging_0191/artfynd/A 38554-2023 artfynd.xlsx", "A 38554-2023")</f>
        <v/>
      </c>
      <c r="T13">
        <f>HYPERLINK("https://klasma.github.io/Logging_0191/kartor/A 38554-2023 karta.png", "A 38554-2023")</f>
        <v/>
      </c>
      <c r="V13">
        <f>HYPERLINK("https://klasma.github.io/Logging_0191/klagomål/A 38554-2023 FSC-klagomål.docx", "A 38554-2023")</f>
        <v/>
      </c>
      <c r="W13">
        <f>HYPERLINK("https://klasma.github.io/Logging_0191/klagomålsmail/A 38554-2023 FSC-klagomål mail.docx", "A 38554-2023")</f>
        <v/>
      </c>
      <c r="X13">
        <f>HYPERLINK("https://klasma.github.io/Logging_0191/tillsyn/A 38554-2023 tillsynsbegäran.docx", "A 38554-2023")</f>
        <v/>
      </c>
      <c r="Y13">
        <f>HYPERLINK("https://klasma.github.io/Logging_0191/tillsynsmail/A 38554-2023 tillsynsbegäran mail.docx", "A 38554-2023")</f>
        <v/>
      </c>
      <c r="Z13">
        <f>HYPERLINK("https://klasma.github.io/Logging_0191/fåglar/A 38554-2023 prioriterade fågelarter.docx", "A 38554-2023")</f>
        <v/>
      </c>
    </row>
    <row r="14" ht="15" customHeight="1">
      <c r="A14" t="inlineStr">
        <is>
          <t>A 49269-2020</t>
        </is>
      </c>
      <c r="B14" s="1" t="n">
        <v>44105</v>
      </c>
      <c r="C14" s="1" t="n">
        <v>45739</v>
      </c>
      <c r="D14" t="inlineStr">
        <is>
          <t>STOCKHOLMS LÄN</t>
        </is>
      </c>
      <c r="E14" t="inlineStr">
        <is>
          <t>SIGTUNA</t>
        </is>
      </c>
      <c r="G14" t="n">
        <v>12.9</v>
      </c>
      <c r="H14" t="n">
        <v>4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Gulsparv
Åkergroda
Vanlig groda
Gullviva</t>
        </is>
      </c>
      <c r="S14">
        <f>HYPERLINK("https://klasma.github.io/Logging_0191/artfynd/A 49269-2020 artfynd.xlsx", "A 49269-2020")</f>
        <v/>
      </c>
      <c r="T14">
        <f>HYPERLINK("https://klasma.github.io/Logging_0191/kartor/A 49269-2020 karta.png", "A 49269-2020")</f>
        <v/>
      </c>
      <c r="V14">
        <f>HYPERLINK("https://klasma.github.io/Logging_0191/klagomål/A 49269-2020 FSC-klagomål.docx", "A 49269-2020")</f>
        <v/>
      </c>
      <c r="W14">
        <f>HYPERLINK("https://klasma.github.io/Logging_0191/klagomålsmail/A 49269-2020 FSC-klagomål mail.docx", "A 49269-2020")</f>
        <v/>
      </c>
      <c r="X14">
        <f>HYPERLINK("https://klasma.github.io/Logging_0191/tillsyn/A 49269-2020 tillsynsbegäran.docx", "A 49269-2020")</f>
        <v/>
      </c>
      <c r="Y14">
        <f>HYPERLINK("https://klasma.github.io/Logging_0191/tillsynsmail/A 49269-2020 tillsynsbegäran mail.docx", "A 49269-2020")</f>
        <v/>
      </c>
      <c r="Z14">
        <f>HYPERLINK("https://klasma.github.io/Logging_0191/fåglar/A 49269-2020 prioriterade fågelarter.docx", "A 49269-2020")</f>
        <v/>
      </c>
    </row>
    <row r="15" ht="15" customHeight="1">
      <c r="A15" t="inlineStr">
        <is>
          <t>A 11714-2021</t>
        </is>
      </c>
      <c r="B15" s="1" t="n">
        <v>44265</v>
      </c>
      <c r="C15" s="1" t="n">
        <v>45739</v>
      </c>
      <c r="D15" t="inlineStr">
        <is>
          <t>STOCKHOLMS LÄN</t>
        </is>
      </c>
      <c r="E15" t="inlineStr">
        <is>
          <t>SIGTUNA</t>
        </is>
      </c>
      <c r="F15" t="inlineStr">
        <is>
          <t>Sveaskog</t>
        </is>
      </c>
      <c r="G15" t="n">
        <v>11.4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Spretfibbla
Guldkremla
Snövit fingersvamp
Svavelriska</t>
        </is>
      </c>
      <c r="S15">
        <f>HYPERLINK("https://klasma.github.io/Logging_0191/artfynd/A 11714-2021 artfynd.xlsx", "A 11714-2021")</f>
        <v/>
      </c>
      <c r="T15">
        <f>HYPERLINK("https://klasma.github.io/Logging_0191/kartor/A 11714-2021 karta.png", "A 11714-2021")</f>
        <v/>
      </c>
      <c r="V15">
        <f>HYPERLINK("https://klasma.github.io/Logging_0191/klagomål/A 11714-2021 FSC-klagomål.docx", "A 11714-2021")</f>
        <v/>
      </c>
      <c r="W15">
        <f>HYPERLINK("https://klasma.github.io/Logging_0191/klagomålsmail/A 11714-2021 FSC-klagomål mail.docx", "A 11714-2021")</f>
        <v/>
      </c>
      <c r="X15">
        <f>HYPERLINK("https://klasma.github.io/Logging_0191/tillsyn/A 11714-2021 tillsynsbegäran.docx", "A 11714-2021")</f>
        <v/>
      </c>
      <c r="Y15">
        <f>HYPERLINK("https://klasma.github.io/Logging_0191/tillsynsmail/A 11714-2021 tillsynsbegäran mail.docx", "A 11714-2021")</f>
        <v/>
      </c>
    </row>
    <row r="16" ht="15" customHeight="1">
      <c r="A16" t="inlineStr">
        <is>
          <t>A 20571-2020</t>
        </is>
      </c>
      <c r="B16" s="1" t="n">
        <v>43948</v>
      </c>
      <c r="C16" s="1" t="n">
        <v>45739</v>
      </c>
      <c r="D16" t="inlineStr">
        <is>
          <t>STOCKHOLMS LÄN</t>
        </is>
      </c>
      <c r="E16" t="inlineStr">
        <is>
          <t>SIGTUNA</t>
        </is>
      </c>
      <c r="G16" t="n">
        <v>2.9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Nordfladdermus
Dvärgpipistrell
Större brunfladdermus</t>
        </is>
      </c>
      <c r="S16">
        <f>HYPERLINK("https://klasma.github.io/Logging_0191/artfynd/A 20571-2020 artfynd.xlsx", "A 20571-2020")</f>
        <v/>
      </c>
      <c r="T16">
        <f>HYPERLINK("https://klasma.github.io/Logging_0191/kartor/A 20571-2020 karta.png", "A 20571-2020")</f>
        <v/>
      </c>
      <c r="V16">
        <f>HYPERLINK("https://klasma.github.io/Logging_0191/klagomål/A 20571-2020 FSC-klagomål.docx", "A 20571-2020")</f>
        <v/>
      </c>
      <c r="W16">
        <f>HYPERLINK("https://klasma.github.io/Logging_0191/klagomålsmail/A 20571-2020 FSC-klagomål mail.docx", "A 20571-2020")</f>
        <v/>
      </c>
      <c r="X16">
        <f>HYPERLINK("https://klasma.github.io/Logging_0191/tillsyn/A 20571-2020 tillsynsbegäran.docx", "A 20571-2020")</f>
        <v/>
      </c>
      <c r="Y16">
        <f>HYPERLINK("https://klasma.github.io/Logging_0191/tillsynsmail/A 20571-2020 tillsynsbegäran mail.docx", "A 20571-2020")</f>
        <v/>
      </c>
    </row>
    <row r="17" ht="15" customHeight="1">
      <c r="A17" t="inlineStr">
        <is>
          <t>A 24386-2020</t>
        </is>
      </c>
      <c r="B17" s="1" t="n">
        <v>43973</v>
      </c>
      <c r="C17" s="1" t="n">
        <v>45739</v>
      </c>
      <c r="D17" t="inlineStr">
        <is>
          <t>STOCKHOLMS LÄN</t>
        </is>
      </c>
      <c r="E17" t="inlineStr">
        <is>
          <t>SIGTUNA</t>
        </is>
      </c>
      <c r="G17" t="n">
        <v>4.5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Granticka
Ullticka
Blåsippa</t>
        </is>
      </c>
      <c r="S17">
        <f>HYPERLINK("https://klasma.github.io/Logging_0191/artfynd/A 24386-2020 artfynd.xlsx", "A 24386-2020")</f>
        <v/>
      </c>
      <c r="T17">
        <f>HYPERLINK("https://klasma.github.io/Logging_0191/kartor/A 24386-2020 karta.png", "A 24386-2020")</f>
        <v/>
      </c>
      <c r="V17">
        <f>HYPERLINK("https://klasma.github.io/Logging_0191/klagomål/A 24386-2020 FSC-klagomål.docx", "A 24386-2020")</f>
        <v/>
      </c>
      <c r="W17">
        <f>HYPERLINK("https://klasma.github.io/Logging_0191/klagomålsmail/A 24386-2020 FSC-klagomål mail.docx", "A 24386-2020")</f>
        <v/>
      </c>
      <c r="X17">
        <f>HYPERLINK("https://klasma.github.io/Logging_0191/tillsyn/A 24386-2020 tillsynsbegäran.docx", "A 24386-2020")</f>
        <v/>
      </c>
      <c r="Y17">
        <f>HYPERLINK("https://klasma.github.io/Logging_0191/tillsynsmail/A 24386-2020 tillsynsbegäran mail.docx", "A 24386-2020")</f>
        <v/>
      </c>
    </row>
    <row r="18" ht="15" customHeight="1">
      <c r="A18" t="inlineStr">
        <is>
          <t>A 18451-2024</t>
        </is>
      </c>
      <c r="B18" s="1" t="n">
        <v>45425</v>
      </c>
      <c r="C18" s="1" t="n">
        <v>45739</v>
      </c>
      <c r="D18" t="inlineStr">
        <is>
          <t>STOCKHOLMS LÄN</t>
        </is>
      </c>
      <c r="E18" t="inlineStr">
        <is>
          <t>SIGTUNA</t>
        </is>
      </c>
      <c r="G18" t="n">
        <v>6.4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Kungsfågel
Blåsippa</t>
        </is>
      </c>
      <c r="S18">
        <f>HYPERLINK("https://klasma.github.io/Logging_0191/artfynd/A 18451-2024 artfynd.xlsx", "A 18451-2024")</f>
        <v/>
      </c>
      <c r="T18">
        <f>HYPERLINK("https://klasma.github.io/Logging_0191/kartor/A 18451-2024 karta.png", "A 18451-2024")</f>
        <v/>
      </c>
      <c r="V18">
        <f>HYPERLINK("https://klasma.github.io/Logging_0191/klagomål/A 18451-2024 FSC-klagomål.docx", "A 18451-2024")</f>
        <v/>
      </c>
      <c r="W18">
        <f>HYPERLINK("https://klasma.github.io/Logging_0191/klagomålsmail/A 18451-2024 FSC-klagomål mail.docx", "A 18451-2024")</f>
        <v/>
      </c>
      <c r="X18">
        <f>HYPERLINK("https://klasma.github.io/Logging_0191/tillsyn/A 18451-2024 tillsynsbegäran.docx", "A 18451-2024")</f>
        <v/>
      </c>
      <c r="Y18">
        <f>HYPERLINK("https://klasma.github.io/Logging_0191/tillsynsmail/A 18451-2024 tillsynsbegäran mail.docx", "A 18451-2024")</f>
        <v/>
      </c>
      <c r="Z18">
        <f>HYPERLINK("https://klasma.github.io/Logging_0191/fåglar/A 18451-2024 prioriterade fågelarter.docx", "A 18451-2024")</f>
        <v/>
      </c>
    </row>
    <row r="19" ht="15" customHeight="1">
      <c r="A19" t="inlineStr">
        <is>
          <t>A 34068-2022</t>
        </is>
      </c>
      <c r="B19" s="1" t="n">
        <v>44791</v>
      </c>
      <c r="C19" s="1" t="n">
        <v>45739</v>
      </c>
      <c r="D19" t="inlineStr">
        <is>
          <t>STOCKHOLMS LÄN</t>
        </is>
      </c>
      <c r="E19" t="inlineStr">
        <is>
          <t>SIGTUNA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Gullviva</t>
        </is>
      </c>
      <c r="S19">
        <f>HYPERLINK("https://klasma.github.io/Logging_0191/artfynd/A 34068-2022 artfynd.xlsx", "A 34068-2022")</f>
        <v/>
      </c>
      <c r="T19">
        <f>HYPERLINK("https://klasma.github.io/Logging_0191/kartor/A 34068-2022 karta.png", "A 34068-2022")</f>
        <v/>
      </c>
      <c r="V19">
        <f>HYPERLINK("https://klasma.github.io/Logging_0191/klagomål/A 34068-2022 FSC-klagomål.docx", "A 34068-2022")</f>
        <v/>
      </c>
      <c r="W19">
        <f>HYPERLINK("https://klasma.github.io/Logging_0191/klagomålsmail/A 34068-2022 FSC-klagomål mail.docx", "A 34068-2022")</f>
        <v/>
      </c>
      <c r="X19">
        <f>HYPERLINK("https://klasma.github.io/Logging_0191/tillsyn/A 34068-2022 tillsynsbegäran.docx", "A 34068-2022")</f>
        <v/>
      </c>
      <c r="Y19">
        <f>HYPERLINK("https://klasma.github.io/Logging_0191/tillsynsmail/A 34068-2022 tillsynsbegäran mail.docx", "A 34068-2022")</f>
        <v/>
      </c>
    </row>
    <row r="20" ht="15" customHeight="1">
      <c r="A20" t="inlineStr">
        <is>
          <t>A 64357-2023</t>
        </is>
      </c>
      <c r="B20" s="1" t="n">
        <v>45280</v>
      </c>
      <c r="C20" s="1" t="n">
        <v>45739</v>
      </c>
      <c r="D20" t="inlineStr">
        <is>
          <t>STOCKHOLMS LÄN</t>
        </is>
      </c>
      <c r="E20" t="inlineStr">
        <is>
          <t>SIGTUNA</t>
        </is>
      </c>
      <c r="F20" t="inlineStr">
        <is>
          <t>Allmännings- och besparingsskogar</t>
        </is>
      </c>
      <c r="G20" t="n">
        <v>6.7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Grönsiska
Pudrad kärrtrollslända</t>
        </is>
      </c>
      <c r="S20">
        <f>HYPERLINK("https://klasma.github.io/Logging_0191/artfynd/A 64357-2023 artfynd.xlsx", "A 64357-2023")</f>
        <v/>
      </c>
      <c r="T20">
        <f>HYPERLINK("https://klasma.github.io/Logging_0191/kartor/A 64357-2023 karta.png", "A 64357-2023")</f>
        <v/>
      </c>
      <c r="V20">
        <f>HYPERLINK("https://klasma.github.io/Logging_0191/klagomål/A 64357-2023 FSC-klagomål.docx", "A 64357-2023")</f>
        <v/>
      </c>
      <c r="W20">
        <f>HYPERLINK("https://klasma.github.io/Logging_0191/klagomålsmail/A 64357-2023 FSC-klagomål mail.docx", "A 64357-2023")</f>
        <v/>
      </c>
      <c r="X20">
        <f>HYPERLINK("https://klasma.github.io/Logging_0191/tillsyn/A 64357-2023 tillsynsbegäran.docx", "A 64357-2023")</f>
        <v/>
      </c>
      <c r="Y20">
        <f>HYPERLINK("https://klasma.github.io/Logging_0191/tillsynsmail/A 64357-2023 tillsynsbegäran mail.docx", "A 64357-2023")</f>
        <v/>
      </c>
      <c r="Z20">
        <f>HYPERLINK("https://klasma.github.io/Logging_0191/fåglar/A 64357-2023 prioriterade fågelarter.docx", "A 64357-2023")</f>
        <v/>
      </c>
    </row>
    <row r="21" ht="15" customHeight="1">
      <c r="A21" t="inlineStr">
        <is>
          <t>A 42497-2019</t>
        </is>
      </c>
      <c r="B21" s="1" t="n">
        <v>43699</v>
      </c>
      <c r="C21" s="1" t="n">
        <v>45739</v>
      </c>
      <c r="D21" t="inlineStr">
        <is>
          <t>STOCKHOLMS LÄN</t>
        </is>
      </c>
      <c r="E21" t="inlineStr">
        <is>
          <t>SIGTUNA</t>
        </is>
      </c>
      <c r="G21" t="n">
        <v>3.6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HYPERLINK("https://klasma.github.io/Logging_0191/artfynd/A 42497-2019 artfynd.xlsx", "A 42497-2019")</f>
        <v/>
      </c>
      <c r="T21">
        <f>HYPERLINK("https://klasma.github.io/Logging_0191/kartor/A 42497-2019 karta.png", "A 42497-2019")</f>
        <v/>
      </c>
      <c r="V21">
        <f>HYPERLINK("https://klasma.github.io/Logging_0191/klagomål/A 42497-2019 FSC-klagomål.docx", "A 42497-2019")</f>
        <v/>
      </c>
      <c r="W21">
        <f>HYPERLINK("https://klasma.github.io/Logging_0191/klagomålsmail/A 42497-2019 FSC-klagomål mail.docx", "A 42497-2019")</f>
        <v/>
      </c>
      <c r="X21">
        <f>HYPERLINK("https://klasma.github.io/Logging_0191/tillsyn/A 42497-2019 tillsynsbegäran.docx", "A 42497-2019")</f>
        <v/>
      </c>
      <c r="Y21">
        <f>HYPERLINK("https://klasma.github.io/Logging_0191/tillsynsmail/A 42497-2019 tillsynsbegäran mail.docx", "A 42497-2019")</f>
        <v/>
      </c>
      <c r="Z21">
        <f>HYPERLINK("https://klasma.github.io/Logging_0191/fåglar/A 42497-2019 prioriterade fågelarter.docx", "A 42497-2019")</f>
        <v/>
      </c>
    </row>
    <row r="22" ht="15" customHeight="1">
      <c r="A22" t="inlineStr">
        <is>
          <t>A 16461-2021</t>
        </is>
      </c>
      <c r="B22" s="1" t="n">
        <v>44293</v>
      </c>
      <c r="C22" s="1" t="n">
        <v>45739</v>
      </c>
      <c r="D22" t="inlineStr">
        <is>
          <t>STOCKHOLMS LÄN</t>
        </is>
      </c>
      <c r="E22" t="inlineStr">
        <is>
          <t>SIGTUNA</t>
        </is>
      </c>
      <c r="G22" t="n">
        <v>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vattensalamander</t>
        </is>
      </c>
      <c r="S22">
        <f>HYPERLINK("https://klasma.github.io/Logging_0191/artfynd/A 16461-2021 artfynd.xlsx", "A 16461-2021")</f>
        <v/>
      </c>
      <c r="T22">
        <f>HYPERLINK("https://klasma.github.io/Logging_0191/kartor/A 16461-2021 karta.png", "A 16461-2021")</f>
        <v/>
      </c>
      <c r="V22">
        <f>HYPERLINK("https://klasma.github.io/Logging_0191/klagomål/A 16461-2021 FSC-klagomål.docx", "A 16461-2021")</f>
        <v/>
      </c>
      <c r="W22">
        <f>HYPERLINK("https://klasma.github.io/Logging_0191/klagomålsmail/A 16461-2021 FSC-klagomål mail.docx", "A 16461-2021")</f>
        <v/>
      </c>
      <c r="X22">
        <f>HYPERLINK("https://klasma.github.io/Logging_0191/tillsyn/A 16461-2021 tillsynsbegäran.docx", "A 16461-2021")</f>
        <v/>
      </c>
      <c r="Y22">
        <f>HYPERLINK("https://klasma.github.io/Logging_0191/tillsynsmail/A 16461-2021 tillsynsbegäran mail.docx", "A 16461-2021")</f>
        <v/>
      </c>
    </row>
    <row r="23" ht="15" customHeight="1">
      <c r="A23" t="inlineStr">
        <is>
          <t>A 51189-2022</t>
        </is>
      </c>
      <c r="B23" s="1" t="n">
        <v>44865</v>
      </c>
      <c r="C23" s="1" t="n">
        <v>45739</v>
      </c>
      <c r="D23" t="inlineStr">
        <is>
          <t>STOCKHOLMS LÄN</t>
        </is>
      </c>
      <c r="E23" t="inlineStr">
        <is>
          <t>SIGTUNA</t>
        </is>
      </c>
      <c r="G23" t="n">
        <v>32.8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Vedskivlav</t>
        </is>
      </c>
      <c r="S23">
        <f>HYPERLINK("https://klasma.github.io/Logging_0191/artfynd/A 51189-2022 artfynd.xlsx", "A 51189-2022")</f>
        <v/>
      </c>
      <c r="T23">
        <f>HYPERLINK("https://klasma.github.io/Logging_0191/kartor/A 51189-2022 karta.png", "A 51189-2022")</f>
        <v/>
      </c>
      <c r="V23">
        <f>HYPERLINK("https://klasma.github.io/Logging_0191/klagomål/A 51189-2022 FSC-klagomål.docx", "A 51189-2022")</f>
        <v/>
      </c>
      <c r="W23">
        <f>HYPERLINK("https://klasma.github.io/Logging_0191/klagomålsmail/A 51189-2022 FSC-klagomål mail.docx", "A 51189-2022")</f>
        <v/>
      </c>
      <c r="X23">
        <f>HYPERLINK("https://klasma.github.io/Logging_0191/tillsyn/A 51189-2022 tillsynsbegäran.docx", "A 51189-2022")</f>
        <v/>
      </c>
      <c r="Y23">
        <f>HYPERLINK("https://klasma.github.io/Logging_0191/tillsynsmail/A 51189-2022 tillsynsbegäran mail.docx", "A 51189-2022")</f>
        <v/>
      </c>
    </row>
    <row r="24" ht="15" customHeight="1">
      <c r="A24" t="inlineStr">
        <is>
          <t>A 8149-2023</t>
        </is>
      </c>
      <c r="B24" s="1" t="n">
        <v>44974</v>
      </c>
      <c r="C24" s="1" t="n">
        <v>45739</v>
      </c>
      <c r="D24" t="inlineStr">
        <is>
          <t>STOCKHOLMS LÄN</t>
        </is>
      </c>
      <c r="E24" t="inlineStr">
        <is>
          <t>SIGTUNA</t>
        </is>
      </c>
      <c r="G24" t="n">
        <v>11.5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Trubbdaggkåpa</t>
        </is>
      </c>
      <c r="S24">
        <f>HYPERLINK("https://klasma.github.io/Logging_0191/artfynd/A 8149-2023 artfynd.xlsx", "A 8149-2023")</f>
        <v/>
      </c>
      <c r="T24">
        <f>HYPERLINK("https://klasma.github.io/Logging_0191/kartor/A 8149-2023 karta.png", "A 8149-2023")</f>
        <v/>
      </c>
      <c r="V24">
        <f>HYPERLINK("https://klasma.github.io/Logging_0191/klagomål/A 8149-2023 FSC-klagomål.docx", "A 8149-2023")</f>
        <v/>
      </c>
      <c r="W24">
        <f>HYPERLINK("https://klasma.github.io/Logging_0191/klagomålsmail/A 8149-2023 FSC-klagomål mail.docx", "A 8149-2023")</f>
        <v/>
      </c>
      <c r="X24">
        <f>HYPERLINK("https://klasma.github.io/Logging_0191/tillsyn/A 8149-2023 tillsynsbegäran.docx", "A 8149-2023")</f>
        <v/>
      </c>
      <c r="Y24">
        <f>HYPERLINK("https://klasma.github.io/Logging_0191/tillsynsmail/A 8149-2023 tillsynsbegäran mail.docx", "A 8149-2023")</f>
        <v/>
      </c>
    </row>
    <row r="25" ht="15" customHeight="1">
      <c r="A25" t="inlineStr">
        <is>
          <t>A 15452-2023</t>
        </is>
      </c>
      <c r="B25" s="1" t="n">
        <v>45020</v>
      </c>
      <c r="C25" s="1" t="n">
        <v>45739</v>
      </c>
      <c r="D25" t="inlineStr">
        <is>
          <t>STOCKHOLMS LÄN</t>
        </is>
      </c>
      <c r="E25" t="inlineStr">
        <is>
          <t>SIGTUNA</t>
        </is>
      </c>
      <c r="F25" t="inlineStr">
        <is>
          <t>Allmännings- och besparingsskogar</t>
        </is>
      </c>
      <c r="G25" t="n">
        <v>4.5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HYPERLINK("https://klasma.github.io/Logging_0191/artfynd/A 15452-2023 artfynd.xlsx", "A 15452-2023")</f>
        <v/>
      </c>
      <c r="T25">
        <f>HYPERLINK("https://klasma.github.io/Logging_0191/kartor/A 15452-2023 karta.png", "A 15452-2023")</f>
        <v/>
      </c>
      <c r="V25">
        <f>HYPERLINK("https://klasma.github.io/Logging_0191/klagomål/A 15452-2023 FSC-klagomål.docx", "A 15452-2023")</f>
        <v/>
      </c>
      <c r="W25">
        <f>HYPERLINK("https://klasma.github.io/Logging_0191/klagomålsmail/A 15452-2023 FSC-klagomål mail.docx", "A 15452-2023")</f>
        <v/>
      </c>
      <c r="X25">
        <f>HYPERLINK("https://klasma.github.io/Logging_0191/tillsyn/A 15452-2023 tillsynsbegäran.docx", "A 15452-2023")</f>
        <v/>
      </c>
      <c r="Y25">
        <f>HYPERLINK("https://klasma.github.io/Logging_0191/tillsynsmail/A 15452-2023 tillsynsbegäran mail.docx", "A 15452-2023")</f>
        <v/>
      </c>
      <c r="Z25">
        <f>HYPERLINK("https://klasma.github.io/Logging_0191/fåglar/A 15452-2023 prioriterade fågelarter.docx", "A 15452-2023")</f>
        <v/>
      </c>
    </row>
    <row r="26" ht="15" customHeight="1">
      <c r="A26" t="inlineStr">
        <is>
          <t>A 39716-2023</t>
        </is>
      </c>
      <c r="B26" s="1" t="n">
        <v>45166</v>
      </c>
      <c r="C26" s="1" t="n">
        <v>45739</v>
      </c>
      <c r="D26" t="inlineStr">
        <is>
          <t>STOCKHOLMS LÄN</t>
        </is>
      </c>
      <c r="E26" t="inlineStr">
        <is>
          <t>SIGTUNA</t>
        </is>
      </c>
      <c r="G26" t="n">
        <v>3.5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Hornuggla</t>
        </is>
      </c>
      <c r="S26">
        <f>HYPERLINK("https://klasma.github.io/Logging_0191/artfynd/A 39716-2023 artfynd.xlsx", "A 39716-2023")</f>
        <v/>
      </c>
      <c r="T26">
        <f>HYPERLINK("https://klasma.github.io/Logging_0191/kartor/A 39716-2023 karta.png", "A 39716-2023")</f>
        <v/>
      </c>
      <c r="V26">
        <f>HYPERLINK("https://klasma.github.io/Logging_0191/klagomål/A 39716-2023 FSC-klagomål.docx", "A 39716-2023")</f>
        <v/>
      </c>
      <c r="W26">
        <f>HYPERLINK("https://klasma.github.io/Logging_0191/klagomålsmail/A 39716-2023 FSC-klagomål mail.docx", "A 39716-2023")</f>
        <v/>
      </c>
      <c r="X26">
        <f>HYPERLINK("https://klasma.github.io/Logging_0191/tillsyn/A 39716-2023 tillsynsbegäran.docx", "A 39716-2023")</f>
        <v/>
      </c>
      <c r="Y26">
        <f>HYPERLINK("https://klasma.github.io/Logging_0191/tillsynsmail/A 39716-2023 tillsynsbegäran mail.docx", "A 39716-2023")</f>
        <v/>
      </c>
      <c r="Z26">
        <f>HYPERLINK("https://klasma.github.io/Logging_0191/fåglar/A 39716-2023 prioriterade fågelarter.docx", "A 39716-2023")</f>
        <v/>
      </c>
    </row>
    <row r="27" ht="15" customHeight="1">
      <c r="A27" t="inlineStr">
        <is>
          <t>A 64345-2023</t>
        </is>
      </c>
      <c r="B27" s="1" t="n">
        <v>45280</v>
      </c>
      <c r="C27" s="1" t="n">
        <v>45739</v>
      </c>
      <c r="D27" t="inlineStr">
        <is>
          <t>STOCKHOLMS LÄN</t>
        </is>
      </c>
      <c r="E27" t="inlineStr">
        <is>
          <t>SIGTUNA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HYPERLINK("https://klasma.github.io/Logging_0191/artfynd/A 64345-2023 artfynd.xlsx", "A 64345-2023")</f>
        <v/>
      </c>
      <c r="T27">
        <f>HYPERLINK("https://klasma.github.io/Logging_0191/kartor/A 64345-2023 karta.png", "A 64345-2023")</f>
        <v/>
      </c>
      <c r="V27">
        <f>HYPERLINK("https://klasma.github.io/Logging_0191/klagomål/A 64345-2023 FSC-klagomål.docx", "A 64345-2023")</f>
        <v/>
      </c>
      <c r="W27">
        <f>HYPERLINK("https://klasma.github.io/Logging_0191/klagomålsmail/A 64345-2023 FSC-klagomål mail.docx", "A 64345-2023")</f>
        <v/>
      </c>
      <c r="X27">
        <f>HYPERLINK("https://klasma.github.io/Logging_0191/tillsyn/A 64345-2023 tillsynsbegäran.docx", "A 64345-2023")</f>
        <v/>
      </c>
      <c r="Y27">
        <f>HYPERLINK("https://klasma.github.io/Logging_0191/tillsynsmail/A 64345-2023 tillsynsbegäran mail.docx", "A 64345-2023")</f>
        <v/>
      </c>
      <c r="Z27">
        <f>HYPERLINK("https://klasma.github.io/Logging_0191/fåglar/A 64345-2023 prioriterade fågelarter.docx", "A 64345-2023")</f>
        <v/>
      </c>
    </row>
    <row r="28" ht="15" customHeight="1">
      <c r="A28" t="inlineStr">
        <is>
          <t>A 25335-2024</t>
        </is>
      </c>
      <c r="B28" s="1" t="n">
        <v>45462</v>
      </c>
      <c r="C28" s="1" t="n">
        <v>45739</v>
      </c>
      <c r="D28" t="inlineStr">
        <is>
          <t>STOCKHOLMS LÄN</t>
        </is>
      </c>
      <c r="E28" t="inlineStr">
        <is>
          <t>SIGTUNA</t>
        </is>
      </c>
      <c r="G28" t="n">
        <v>3.8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HYPERLINK("https://klasma.github.io/Logging_0191/artfynd/A 25335-2024 artfynd.xlsx", "A 25335-2024")</f>
        <v/>
      </c>
      <c r="T28">
        <f>HYPERLINK("https://klasma.github.io/Logging_0191/kartor/A 25335-2024 karta.png", "A 25335-2024")</f>
        <v/>
      </c>
      <c r="V28">
        <f>HYPERLINK("https://klasma.github.io/Logging_0191/klagomål/A 25335-2024 FSC-klagomål.docx", "A 25335-2024")</f>
        <v/>
      </c>
      <c r="W28">
        <f>HYPERLINK("https://klasma.github.io/Logging_0191/klagomålsmail/A 25335-2024 FSC-klagomål mail.docx", "A 25335-2024")</f>
        <v/>
      </c>
      <c r="X28">
        <f>HYPERLINK("https://klasma.github.io/Logging_0191/tillsyn/A 25335-2024 tillsynsbegäran.docx", "A 25335-2024")</f>
        <v/>
      </c>
      <c r="Y28">
        <f>HYPERLINK("https://klasma.github.io/Logging_0191/tillsynsmail/A 25335-2024 tillsynsbegäran mail.docx", "A 25335-2024")</f>
        <v/>
      </c>
    </row>
    <row r="29" ht="15" customHeight="1">
      <c r="A29" t="inlineStr">
        <is>
          <t>A 33751-2024</t>
        </is>
      </c>
      <c r="B29" s="1" t="n">
        <v>45520</v>
      </c>
      <c r="C29" s="1" t="n">
        <v>45739</v>
      </c>
      <c r="D29" t="inlineStr">
        <is>
          <t>STOCKHOLMS LÄN</t>
        </is>
      </c>
      <c r="E29" t="inlineStr">
        <is>
          <t>SIGTUNA</t>
        </is>
      </c>
      <c r="F29" t="inlineStr">
        <is>
          <t>Allmännings- och besparingsskogar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Grönfink</t>
        </is>
      </c>
      <c r="S29">
        <f>HYPERLINK("https://klasma.github.io/Logging_0191/artfynd/A 33751-2024 artfynd.xlsx", "A 33751-2024")</f>
        <v/>
      </c>
      <c r="T29">
        <f>HYPERLINK("https://klasma.github.io/Logging_0191/kartor/A 33751-2024 karta.png", "A 33751-2024")</f>
        <v/>
      </c>
      <c r="V29">
        <f>HYPERLINK("https://klasma.github.io/Logging_0191/klagomål/A 33751-2024 FSC-klagomål.docx", "A 33751-2024")</f>
        <v/>
      </c>
      <c r="W29">
        <f>HYPERLINK("https://klasma.github.io/Logging_0191/klagomålsmail/A 33751-2024 FSC-klagomål mail.docx", "A 33751-2024")</f>
        <v/>
      </c>
      <c r="X29">
        <f>HYPERLINK("https://klasma.github.io/Logging_0191/tillsyn/A 33751-2024 tillsynsbegäran.docx", "A 33751-2024")</f>
        <v/>
      </c>
      <c r="Y29">
        <f>HYPERLINK("https://klasma.github.io/Logging_0191/tillsynsmail/A 33751-2024 tillsynsbegäran mail.docx", "A 33751-2024")</f>
        <v/>
      </c>
      <c r="Z29">
        <f>HYPERLINK("https://klasma.github.io/Logging_0191/fåglar/A 33751-2024 prioriterade fågelarter.docx", "A 33751-2024")</f>
        <v/>
      </c>
    </row>
    <row r="30" ht="15" customHeight="1">
      <c r="A30" t="inlineStr">
        <is>
          <t>A 19563-2019</t>
        </is>
      </c>
      <c r="B30" s="1" t="n">
        <v>43566</v>
      </c>
      <c r="C30" s="1" t="n">
        <v>45739</v>
      </c>
      <c r="D30" t="inlineStr">
        <is>
          <t>STOCKHOLMS LÄN</t>
        </is>
      </c>
      <c r="E30" t="inlineStr">
        <is>
          <t>SIGTUNA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28330-2019</t>
        </is>
      </c>
      <c r="B31" s="1" t="n">
        <v>43623</v>
      </c>
      <c r="C31" s="1" t="n">
        <v>45739</v>
      </c>
      <c r="D31" t="inlineStr">
        <is>
          <t>STOCKHOLMS LÄN</t>
        </is>
      </c>
      <c r="E31" t="inlineStr">
        <is>
          <t>SIGTUNA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28560-2019</t>
        </is>
      </c>
      <c r="B32" s="1" t="n">
        <v>43626</v>
      </c>
      <c r="C32" s="1" t="n">
        <v>45739</v>
      </c>
      <c r="D32" t="inlineStr">
        <is>
          <t>STOCKHOLMS LÄN</t>
        </is>
      </c>
      <c r="E32" t="inlineStr">
        <is>
          <t>SIGTUNA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28384-2019</t>
        </is>
      </c>
      <c r="B33" s="1" t="n">
        <v>43626</v>
      </c>
      <c r="C33" s="1" t="n">
        <v>45739</v>
      </c>
      <c r="D33" t="inlineStr">
        <is>
          <t>STOCKHOLMS LÄN</t>
        </is>
      </c>
      <c r="E33" t="inlineStr">
        <is>
          <t>SIGTUNA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32813-2019</t>
        </is>
      </c>
      <c r="B34" s="1" t="n">
        <v>43648</v>
      </c>
      <c r="C34" s="1" t="n">
        <v>45739</v>
      </c>
      <c r="D34" t="inlineStr">
        <is>
          <t>STOCKHOLMS LÄN</t>
        </is>
      </c>
      <c r="E34" t="inlineStr">
        <is>
          <t>SIGTUNA</t>
        </is>
      </c>
      <c r="G34" t="n">
        <v>8.300000000000001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49268-2019</t>
        </is>
      </c>
      <c r="B35" s="1" t="n">
        <v>43731</v>
      </c>
      <c r="C35" s="1" t="n">
        <v>45739</v>
      </c>
      <c r="D35" t="inlineStr">
        <is>
          <t>STOCKHOLMS LÄN</t>
        </is>
      </c>
      <c r="E35" t="inlineStr">
        <is>
          <t>SIGTUNA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50737-2019</t>
        </is>
      </c>
      <c r="B36" s="1" t="n">
        <v>43738</v>
      </c>
      <c r="C36" s="1" t="n">
        <v>45739</v>
      </c>
      <c r="D36" t="inlineStr">
        <is>
          <t>STOCKHOLMS LÄN</t>
        </is>
      </c>
      <c r="E36" t="inlineStr">
        <is>
          <t>SIGTUNA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50755-2019</t>
        </is>
      </c>
      <c r="B37" s="1" t="n">
        <v>43738</v>
      </c>
      <c r="C37" s="1" t="n">
        <v>45739</v>
      </c>
      <c r="D37" t="inlineStr">
        <is>
          <t>STOCKHOLMS LÄN</t>
        </is>
      </c>
      <c r="E37" t="inlineStr">
        <is>
          <t>SIGTUNA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54875-2019</t>
        </is>
      </c>
      <c r="B38" s="1" t="n">
        <v>43755</v>
      </c>
      <c r="C38" s="1" t="n">
        <v>45739</v>
      </c>
      <c r="D38" t="inlineStr">
        <is>
          <t>STOCKHOLMS LÄN</t>
        </is>
      </c>
      <c r="E38" t="inlineStr">
        <is>
          <t>SIGTUNA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57461-2019</t>
        </is>
      </c>
      <c r="B39" s="1" t="n">
        <v>43767</v>
      </c>
      <c r="C39" s="1" t="n">
        <v>45739</v>
      </c>
      <c r="D39" t="inlineStr">
        <is>
          <t>STOCKHOLMS LÄN</t>
        </is>
      </c>
      <c r="E39" t="inlineStr">
        <is>
          <t>SIGTUNA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64901-2019</t>
        </is>
      </c>
      <c r="B40" s="1" t="n">
        <v>43801</v>
      </c>
      <c r="C40" s="1" t="n">
        <v>45739</v>
      </c>
      <c r="D40" t="inlineStr">
        <is>
          <t>STOCKHOLMS LÄN</t>
        </is>
      </c>
      <c r="E40" t="inlineStr">
        <is>
          <t>SIGTUNA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64898-2019</t>
        </is>
      </c>
      <c r="B41" s="1" t="n">
        <v>43801</v>
      </c>
      <c r="C41" s="1" t="n">
        <v>45739</v>
      </c>
      <c r="D41" t="inlineStr">
        <is>
          <t>STOCKHOLMS LÄN</t>
        </is>
      </c>
      <c r="E41" t="inlineStr">
        <is>
          <t>SIGTUNA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68825-2019</t>
        </is>
      </c>
      <c r="B42" s="1" t="n">
        <v>43819</v>
      </c>
      <c r="C42" s="1" t="n">
        <v>45739</v>
      </c>
      <c r="D42" t="inlineStr">
        <is>
          <t>STOCKHOLMS LÄN</t>
        </is>
      </c>
      <c r="E42" t="inlineStr">
        <is>
          <t>SIGTUNA</t>
        </is>
      </c>
      <c r="F42" t="inlineStr">
        <is>
          <t>Kyrkan</t>
        </is>
      </c>
      <c r="G42" t="n">
        <v>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68826-2019</t>
        </is>
      </c>
      <c r="B43" s="1" t="n">
        <v>43819</v>
      </c>
      <c r="C43" s="1" t="n">
        <v>45739</v>
      </c>
      <c r="D43" t="inlineStr">
        <is>
          <t>STOCKHOLMS LÄN</t>
        </is>
      </c>
      <c r="E43" t="inlineStr">
        <is>
          <t>SIGTUNA</t>
        </is>
      </c>
      <c r="F43" t="inlineStr">
        <is>
          <t>Kyrkan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68829-2019</t>
        </is>
      </c>
      <c r="B44" s="1" t="n">
        <v>43819</v>
      </c>
      <c r="C44" s="1" t="n">
        <v>45739</v>
      </c>
      <c r="D44" t="inlineStr">
        <is>
          <t>STOCKHOLMS LÄN</t>
        </is>
      </c>
      <c r="E44" t="inlineStr">
        <is>
          <t>SIGTUNA</t>
        </is>
      </c>
      <c r="F44" t="inlineStr">
        <is>
          <t>Kyrkan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10244-2020</t>
        </is>
      </c>
      <c r="B45" s="1" t="n">
        <v>43885</v>
      </c>
      <c r="C45" s="1" t="n">
        <v>45739</v>
      </c>
      <c r="D45" t="inlineStr">
        <is>
          <t>STOCKHOLMS LÄN</t>
        </is>
      </c>
      <c r="E45" t="inlineStr">
        <is>
          <t>SIGTUNA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10738-2020</t>
        </is>
      </c>
      <c r="B46" s="1" t="n">
        <v>43888</v>
      </c>
      <c r="C46" s="1" t="n">
        <v>45739</v>
      </c>
      <c r="D46" t="inlineStr">
        <is>
          <t>STOCKHOLMS LÄN</t>
        </is>
      </c>
      <c r="E46" t="inlineStr">
        <is>
          <t>SIGTUNA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10744-2020</t>
        </is>
      </c>
      <c r="B47" s="1" t="n">
        <v>43888</v>
      </c>
      <c r="C47" s="1" t="n">
        <v>45739</v>
      </c>
      <c r="D47" t="inlineStr">
        <is>
          <t>STOCKHOLMS LÄN</t>
        </is>
      </c>
      <c r="E47" t="inlineStr">
        <is>
          <t>SIGTUNA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14512-2020</t>
        </is>
      </c>
      <c r="B48" s="1" t="n">
        <v>43907</v>
      </c>
      <c r="C48" s="1" t="n">
        <v>45739</v>
      </c>
      <c r="D48" t="inlineStr">
        <is>
          <t>STOCKHOLMS LÄN</t>
        </is>
      </c>
      <c r="E48" t="inlineStr">
        <is>
          <t>SIGTUNA</t>
        </is>
      </c>
      <c r="F48" t="inlineStr">
        <is>
          <t>Övriga statliga verk och myndigheter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23098-2020</t>
        </is>
      </c>
      <c r="B49" s="1" t="n">
        <v>43965</v>
      </c>
      <c r="C49" s="1" t="n">
        <v>45739</v>
      </c>
      <c r="D49" t="inlineStr">
        <is>
          <t>STOCKHOLMS LÄN</t>
        </is>
      </c>
      <c r="E49" t="inlineStr">
        <is>
          <t>SIGTUNA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25745-2020</t>
        </is>
      </c>
      <c r="B50" s="1" t="n">
        <v>43984</v>
      </c>
      <c r="C50" s="1" t="n">
        <v>45739</v>
      </c>
      <c r="D50" t="inlineStr">
        <is>
          <t>STOCKHOLMS LÄN</t>
        </is>
      </c>
      <c r="E50" t="inlineStr">
        <is>
          <t>SIGTUNA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28663-2020</t>
        </is>
      </c>
      <c r="B51" s="1" t="n">
        <v>43999</v>
      </c>
      <c r="C51" s="1" t="n">
        <v>45739</v>
      </c>
      <c r="D51" t="inlineStr">
        <is>
          <t>STOCKHOLMS LÄN</t>
        </is>
      </c>
      <c r="E51" t="inlineStr">
        <is>
          <t>SIGTUNA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28923-2020</t>
        </is>
      </c>
      <c r="B52" s="1" t="n">
        <v>44000</v>
      </c>
      <c r="C52" s="1" t="n">
        <v>45739</v>
      </c>
      <c r="D52" t="inlineStr">
        <is>
          <t>STOCKHOLMS LÄN</t>
        </is>
      </c>
      <c r="E52" t="inlineStr">
        <is>
          <t>SIGTUNA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42714-2020</t>
        </is>
      </c>
      <c r="B53" s="1" t="n">
        <v>44077</v>
      </c>
      <c r="C53" s="1" t="n">
        <v>45739</v>
      </c>
      <c r="D53" t="inlineStr">
        <is>
          <t>STOCKHOLMS LÄN</t>
        </is>
      </c>
      <c r="E53" t="inlineStr">
        <is>
          <t>SIGTUNA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50585-2020</t>
        </is>
      </c>
      <c r="B54" s="1" t="n">
        <v>44110</v>
      </c>
      <c r="C54" s="1" t="n">
        <v>45739</v>
      </c>
      <c r="D54" t="inlineStr">
        <is>
          <t>STOCKHOLMS LÄN</t>
        </is>
      </c>
      <c r="E54" t="inlineStr">
        <is>
          <t>SIGTUNA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64372-2020</t>
        </is>
      </c>
      <c r="B55" s="1" t="n">
        <v>44168</v>
      </c>
      <c r="C55" s="1" t="n">
        <v>45739</v>
      </c>
      <c r="D55" t="inlineStr">
        <is>
          <t>STOCKHOLMS LÄN</t>
        </is>
      </c>
      <c r="E55" t="inlineStr">
        <is>
          <t>SIGTUNA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64981-2020</t>
        </is>
      </c>
      <c r="B56" s="1" t="n">
        <v>44172</v>
      </c>
      <c r="C56" s="1" t="n">
        <v>45739</v>
      </c>
      <c r="D56" t="inlineStr">
        <is>
          <t>STOCKHOLMS LÄN</t>
        </is>
      </c>
      <c r="E56" t="inlineStr">
        <is>
          <t>SIGTUNA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6430-2021</t>
        </is>
      </c>
      <c r="B57" s="1" t="n">
        <v>44235</v>
      </c>
      <c r="C57" s="1" t="n">
        <v>45739</v>
      </c>
      <c r="D57" t="inlineStr">
        <is>
          <t>STOCKHOLMS LÄN</t>
        </is>
      </c>
      <c r="E57" t="inlineStr">
        <is>
          <t>SIGTUNA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11197-2021</t>
        </is>
      </c>
      <c r="B58" s="1" t="n">
        <v>44263</v>
      </c>
      <c r="C58" s="1" t="n">
        <v>45739</v>
      </c>
      <c r="D58" t="inlineStr">
        <is>
          <t>STOCKHOLMS LÄN</t>
        </is>
      </c>
      <c r="E58" t="inlineStr">
        <is>
          <t>SIGTUNA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11195-2021</t>
        </is>
      </c>
      <c r="B59" s="1" t="n">
        <v>44263</v>
      </c>
      <c r="C59" s="1" t="n">
        <v>45739</v>
      </c>
      <c r="D59" t="inlineStr">
        <is>
          <t>STOCKHOLMS LÄN</t>
        </is>
      </c>
      <c r="E59" t="inlineStr">
        <is>
          <t>SIGTUNA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11477-2021</t>
        </is>
      </c>
      <c r="B60" s="1" t="n">
        <v>44264</v>
      </c>
      <c r="C60" s="1" t="n">
        <v>45739</v>
      </c>
      <c r="D60" t="inlineStr">
        <is>
          <t>STOCKHOLMS LÄN</t>
        </is>
      </c>
      <c r="E60" t="inlineStr">
        <is>
          <t>SIGTUNA</t>
        </is>
      </c>
      <c r="F60" t="inlineStr">
        <is>
          <t>Sveaskog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11459-2021</t>
        </is>
      </c>
      <c r="B61" s="1" t="n">
        <v>44264</v>
      </c>
      <c r="C61" s="1" t="n">
        <v>45739</v>
      </c>
      <c r="D61" t="inlineStr">
        <is>
          <t>STOCKHOLMS LÄN</t>
        </is>
      </c>
      <c r="E61" t="inlineStr">
        <is>
          <t>SIGTUNA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11713-2021</t>
        </is>
      </c>
      <c r="B62" s="1" t="n">
        <v>44265</v>
      </c>
      <c r="C62" s="1" t="n">
        <v>45739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11718-2021</t>
        </is>
      </c>
      <c r="B63" s="1" t="n">
        <v>44265</v>
      </c>
      <c r="C63" s="1" t="n">
        <v>45739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15428-2021</t>
        </is>
      </c>
      <c r="B64" s="1" t="n">
        <v>44285</v>
      </c>
      <c r="C64" s="1" t="n">
        <v>45739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35953-2021</t>
        </is>
      </c>
      <c r="B65" s="1" t="n">
        <v>44385</v>
      </c>
      <c r="C65" s="1" t="n">
        <v>45739</v>
      </c>
      <c r="D65" t="inlineStr">
        <is>
          <t>STOCKHOLMS LÄN</t>
        </is>
      </c>
      <c r="E65" t="inlineStr">
        <is>
          <t>SIGTUNA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53090-2021</t>
        </is>
      </c>
      <c r="B66" s="1" t="n">
        <v>44467</v>
      </c>
      <c r="C66" s="1" t="n">
        <v>45739</v>
      </c>
      <c r="D66" t="inlineStr">
        <is>
          <t>STOCKHOLMS LÄN</t>
        </is>
      </c>
      <c r="E66" t="inlineStr">
        <is>
          <t>SIGTUNA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53462-2021</t>
        </is>
      </c>
      <c r="B67" s="1" t="n">
        <v>44468</v>
      </c>
      <c r="C67" s="1" t="n">
        <v>45739</v>
      </c>
      <c r="D67" t="inlineStr">
        <is>
          <t>STOCKHOLMS LÄN</t>
        </is>
      </c>
      <c r="E67" t="inlineStr">
        <is>
          <t>SIGTUNA</t>
        </is>
      </c>
      <c r="F67" t="inlineStr">
        <is>
          <t>Kyrkan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55112-2021</t>
        </is>
      </c>
      <c r="B68" s="1" t="n">
        <v>44474</v>
      </c>
      <c r="C68" s="1" t="n">
        <v>45739</v>
      </c>
      <c r="D68" t="inlineStr">
        <is>
          <t>STOCKHOLMS LÄN</t>
        </is>
      </c>
      <c r="E68" t="inlineStr">
        <is>
          <t>SIGTUNA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56724-2021</t>
        </is>
      </c>
      <c r="B69" s="1" t="n">
        <v>44480</v>
      </c>
      <c r="C69" s="1" t="n">
        <v>45739</v>
      </c>
      <c r="D69" t="inlineStr">
        <is>
          <t>STOCKHOLMS LÄN</t>
        </is>
      </c>
      <c r="E69" t="inlineStr">
        <is>
          <t>SIGTUNA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61937-2021</t>
        </is>
      </c>
      <c r="B70" s="1" t="n">
        <v>44502</v>
      </c>
      <c r="C70" s="1" t="n">
        <v>45739</v>
      </c>
      <c r="D70" t="inlineStr">
        <is>
          <t>STOCKHOLMS LÄN</t>
        </is>
      </c>
      <c r="E70" t="inlineStr">
        <is>
          <t>SIGTUNA</t>
        </is>
      </c>
      <c r="G70" t="n">
        <v>14.7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65340-2021</t>
        </is>
      </c>
      <c r="B71" s="1" t="n">
        <v>44515</v>
      </c>
      <c r="C71" s="1" t="n">
        <v>45739</v>
      </c>
      <c r="D71" t="inlineStr">
        <is>
          <t>STOCKHOLMS LÄN</t>
        </is>
      </c>
      <c r="E71" t="inlineStr">
        <is>
          <t>SIGTUNA</t>
        </is>
      </c>
      <c r="F71" t="inlineStr">
        <is>
          <t>Kyrkan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72530-2021</t>
        </is>
      </c>
      <c r="B72" s="1" t="n">
        <v>44546</v>
      </c>
      <c r="C72" s="1" t="n">
        <v>45739</v>
      </c>
      <c r="D72" t="inlineStr">
        <is>
          <t>STOCKHOLMS LÄN</t>
        </is>
      </c>
      <c r="E72" t="inlineStr">
        <is>
          <t>SIGTUNA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74170-2021</t>
        </is>
      </c>
      <c r="B73" s="1" t="n">
        <v>44557</v>
      </c>
      <c r="C73" s="1" t="n">
        <v>45739</v>
      </c>
      <c r="D73" t="inlineStr">
        <is>
          <t>STOCKHOLMS LÄN</t>
        </is>
      </c>
      <c r="E73" t="inlineStr">
        <is>
          <t>SIGTUNA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74167-2021</t>
        </is>
      </c>
      <c r="B74" s="1" t="n">
        <v>44557</v>
      </c>
      <c r="C74" s="1" t="n">
        <v>45739</v>
      </c>
      <c r="D74" t="inlineStr">
        <is>
          <t>STOCKHOLMS LÄN</t>
        </is>
      </c>
      <c r="E74" t="inlineStr">
        <is>
          <t>SIGTUNA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862-2022</t>
        </is>
      </c>
      <c r="B75" s="1" t="n">
        <v>44571</v>
      </c>
      <c r="C75" s="1" t="n">
        <v>45739</v>
      </c>
      <c r="D75" t="inlineStr">
        <is>
          <t>STOCKHOLMS LÄN</t>
        </is>
      </c>
      <c r="E75" t="inlineStr">
        <is>
          <t>SIGTUNA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7214-2022</t>
        </is>
      </c>
      <c r="B76" s="1" t="n">
        <v>44606</v>
      </c>
      <c r="C76" s="1" t="n">
        <v>45739</v>
      </c>
      <c r="D76" t="inlineStr">
        <is>
          <t>STOCKHOLMS LÄN</t>
        </is>
      </c>
      <c r="E76" t="inlineStr">
        <is>
          <t>SIGTUNA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7280-2022</t>
        </is>
      </c>
      <c r="B77" s="1" t="n">
        <v>44606</v>
      </c>
      <c r="C77" s="1" t="n">
        <v>45739</v>
      </c>
      <c r="D77" t="inlineStr">
        <is>
          <t>STOCKHOLMS LÄN</t>
        </is>
      </c>
      <c r="E77" t="inlineStr">
        <is>
          <t>SIGTUNA</t>
        </is>
      </c>
      <c r="F77" t="inlineStr">
        <is>
          <t>Övriga statliga verk och myndigheter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9750-2022</t>
        </is>
      </c>
      <c r="B78" s="1" t="n">
        <v>44618</v>
      </c>
      <c r="C78" s="1" t="n">
        <v>45739</v>
      </c>
      <c r="D78" t="inlineStr">
        <is>
          <t>STOCKHOLMS LÄN</t>
        </is>
      </c>
      <c r="E78" t="inlineStr">
        <is>
          <t>SIGTUNA</t>
        </is>
      </c>
      <c r="G78" t="n">
        <v>10.8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9767-2022</t>
        </is>
      </c>
      <c r="B79" s="1" t="n">
        <v>44619</v>
      </c>
      <c r="C79" s="1" t="n">
        <v>45739</v>
      </c>
      <c r="D79" t="inlineStr">
        <is>
          <t>STOCKHOLMS LÄN</t>
        </is>
      </c>
      <c r="E79" t="inlineStr">
        <is>
          <t>SIGTUNA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12900-2022</t>
        </is>
      </c>
      <c r="B80" s="1" t="n">
        <v>44642</v>
      </c>
      <c r="C80" s="1" t="n">
        <v>45739</v>
      </c>
      <c r="D80" t="inlineStr">
        <is>
          <t>STOCKHOLMS LÄN</t>
        </is>
      </c>
      <c r="E80" t="inlineStr">
        <is>
          <t>SIGTUNA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HYPERLINK("https://klasma.github.io/Logging_0191/knärot/A 12900-2022 karta knärot.png", "A 12900-2022")</f>
        <v/>
      </c>
      <c r="V80">
        <f>HYPERLINK("https://klasma.github.io/Logging_0191/klagomål/A 12900-2022 FSC-klagomål.docx", "A 12900-2022")</f>
        <v/>
      </c>
      <c r="W80">
        <f>HYPERLINK("https://klasma.github.io/Logging_0191/klagomålsmail/A 12900-2022 FSC-klagomål mail.docx", "A 12900-2022")</f>
        <v/>
      </c>
      <c r="X80">
        <f>HYPERLINK("https://klasma.github.io/Logging_0191/tillsyn/A 12900-2022 tillsynsbegäran.docx", "A 12900-2022")</f>
        <v/>
      </c>
      <c r="Y80">
        <f>HYPERLINK("https://klasma.github.io/Logging_0191/tillsynsmail/A 12900-2022 tillsynsbegäran mail.docx", "A 12900-2022")</f>
        <v/>
      </c>
    </row>
    <row r="81" ht="15" customHeight="1">
      <c r="A81" t="inlineStr">
        <is>
          <t>A 12931-2022</t>
        </is>
      </c>
      <c r="B81" s="1" t="n">
        <v>44642</v>
      </c>
      <c r="C81" s="1" t="n">
        <v>45739</v>
      </c>
      <c r="D81" t="inlineStr">
        <is>
          <t>STOCKHOLMS LÄN</t>
        </is>
      </c>
      <c r="E81" t="inlineStr">
        <is>
          <t>SIGTUNA</t>
        </is>
      </c>
      <c r="F81" t="inlineStr">
        <is>
          <t>Kyrkan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17286-2022</t>
        </is>
      </c>
      <c r="B82" s="1" t="n">
        <v>44678</v>
      </c>
      <c r="C82" s="1" t="n">
        <v>45739</v>
      </c>
      <c r="D82" t="inlineStr">
        <is>
          <t>STOCKHOLMS LÄN</t>
        </is>
      </c>
      <c r="E82" t="inlineStr">
        <is>
          <t>SIGTUNA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19995-2022</t>
        </is>
      </c>
      <c r="B83" s="1" t="n">
        <v>44697</v>
      </c>
      <c r="C83" s="1" t="n">
        <v>45739</v>
      </c>
      <c r="D83" t="inlineStr">
        <is>
          <t>STOCKHOLMS LÄN</t>
        </is>
      </c>
      <c r="E83" t="inlineStr">
        <is>
          <t>SIGTUNA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28851-2022</t>
        </is>
      </c>
      <c r="B84" s="1" t="n">
        <v>44749</v>
      </c>
      <c r="C84" s="1" t="n">
        <v>45739</v>
      </c>
      <c r="D84" t="inlineStr">
        <is>
          <t>STOCKHOLMS LÄN</t>
        </is>
      </c>
      <c r="E84" t="inlineStr">
        <is>
          <t>SIGTUNA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28861-2022</t>
        </is>
      </c>
      <c r="B85" s="1" t="n">
        <v>44749</v>
      </c>
      <c r="C85" s="1" t="n">
        <v>45739</v>
      </c>
      <c r="D85" t="inlineStr">
        <is>
          <t>STOCKHOLMS LÄN</t>
        </is>
      </c>
      <c r="E85" t="inlineStr">
        <is>
          <t>SIGTUNA</t>
        </is>
      </c>
      <c r="G85" t="n">
        <v>10.9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28843-2022</t>
        </is>
      </c>
      <c r="B86" s="1" t="n">
        <v>44749</v>
      </c>
      <c r="C86" s="1" t="n">
        <v>45739</v>
      </c>
      <c r="D86" t="inlineStr">
        <is>
          <t>STOCKHOLMS LÄN</t>
        </is>
      </c>
      <c r="E86" t="inlineStr">
        <is>
          <t>SIGTUNA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29646-2022</t>
        </is>
      </c>
      <c r="B87" s="1" t="n">
        <v>44754</v>
      </c>
      <c r="C87" s="1" t="n">
        <v>45739</v>
      </c>
      <c r="D87" t="inlineStr">
        <is>
          <t>STOCKHOLMS LÄN</t>
        </is>
      </c>
      <c r="E87" t="inlineStr">
        <is>
          <t>SIGTUNA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31695-2022</t>
        </is>
      </c>
      <c r="B88" s="1" t="n">
        <v>44776</v>
      </c>
      <c r="C88" s="1" t="n">
        <v>45739</v>
      </c>
      <c r="D88" t="inlineStr">
        <is>
          <t>STOCKHOLMS LÄN</t>
        </is>
      </c>
      <c r="E88" t="inlineStr">
        <is>
          <t>SIGTUNA</t>
        </is>
      </c>
      <c r="F88" t="inlineStr">
        <is>
          <t>Kommuner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31684-2022</t>
        </is>
      </c>
      <c r="B89" s="1" t="n">
        <v>44776</v>
      </c>
      <c r="C89" s="1" t="n">
        <v>45739</v>
      </c>
      <c r="D89" t="inlineStr">
        <is>
          <t>STOCKHOLMS LÄN</t>
        </is>
      </c>
      <c r="E89" t="inlineStr">
        <is>
          <t>SIGTUNA</t>
        </is>
      </c>
      <c r="F89" t="inlineStr">
        <is>
          <t>Kommuner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31697-2022</t>
        </is>
      </c>
      <c r="B90" s="1" t="n">
        <v>44776</v>
      </c>
      <c r="C90" s="1" t="n">
        <v>45739</v>
      </c>
      <c r="D90" t="inlineStr">
        <is>
          <t>STOCKHOLMS LÄN</t>
        </is>
      </c>
      <c r="E90" t="inlineStr">
        <is>
          <t>SIGTUNA</t>
        </is>
      </c>
      <c r="F90" t="inlineStr">
        <is>
          <t>Kommuner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36181-2022</t>
        </is>
      </c>
      <c r="B91" s="1" t="n">
        <v>44803</v>
      </c>
      <c r="C91" s="1" t="n">
        <v>45739</v>
      </c>
      <c r="D91" t="inlineStr">
        <is>
          <t>STOCKHOLMS LÄN</t>
        </is>
      </c>
      <c r="E91" t="inlineStr">
        <is>
          <t>SIGTUNA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36179-2022</t>
        </is>
      </c>
      <c r="B92" s="1" t="n">
        <v>44803</v>
      </c>
      <c r="C92" s="1" t="n">
        <v>45739</v>
      </c>
      <c r="D92" t="inlineStr">
        <is>
          <t>STOCKHOLMS LÄN</t>
        </is>
      </c>
      <c r="E92" t="inlineStr">
        <is>
          <t>SIGTUNA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37444-2022</t>
        </is>
      </c>
      <c r="B93" s="1" t="n">
        <v>44809</v>
      </c>
      <c r="C93" s="1" t="n">
        <v>45739</v>
      </c>
      <c r="D93" t="inlineStr">
        <is>
          <t>STOCKHOLMS LÄN</t>
        </is>
      </c>
      <c r="E93" t="inlineStr">
        <is>
          <t>SIGTUNA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37442-2022</t>
        </is>
      </c>
      <c r="B94" s="1" t="n">
        <v>44809</v>
      </c>
      <c r="C94" s="1" t="n">
        <v>45739</v>
      </c>
      <c r="D94" t="inlineStr">
        <is>
          <t>STOCKHOLMS LÄN</t>
        </is>
      </c>
      <c r="E94" t="inlineStr">
        <is>
          <t>SIGTUNA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41693-2022</t>
        </is>
      </c>
      <c r="B95" s="1" t="n">
        <v>44827</v>
      </c>
      <c r="C95" s="1" t="n">
        <v>45739</v>
      </c>
      <c r="D95" t="inlineStr">
        <is>
          <t>STOCKHOLMS LÄN</t>
        </is>
      </c>
      <c r="E95" t="inlineStr">
        <is>
          <t>SIGTUNA</t>
        </is>
      </c>
      <c r="F95" t="inlineStr">
        <is>
          <t>Allmännings- och besparingsskogar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42162-2022</t>
        </is>
      </c>
      <c r="B96" s="1" t="n">
        <v>44830</v>
      </c>
      <c r="C96" s="1" t="n">
        <v>45739</v>
      </c>
      <c r="D96" t="inlineStr">
        <is>
          <t>STOCKHOLMS LÄN</t>
        </is>
      </c>
      <c r="E96" t="inlineStr">
        <is>
          <t>SIGTUNA</t>
        </is>
      </c>
      <c r="F96" t="inlineStr">
        <is>
          <t>Övriga statliga verk och myndigheter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56801-2022</t>
        </is>
      </c>
      <c r="B97" s="1" t="n">
        <v>44894</v>
      </c>
      <c r="C97" s="1" t="n">
        <v>45739</v>
      </c>
      <c r="D97" t="inlineStr">
        <is>
          <t>STOCKHOLMS LÄN</t>
        </is>
      </c>
      <c r="E97" t="inlineStr">
        <is>
          <t>SIGTUNA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56796-2022</t>
        </is>
      </c>
      <c r="B98" s="1" t="n">
        <v>44894</v>
      </c>
      <c r="C98" s="1" t="n">
        <v>45739</v>
      </c>
      <c r="D98" t="inlineStr">
        <is>
          <t>STOCKHOLMS LÄN</t>
        </is>
      </c>
      <c r="E98" t="inlineStr">
        <is>
          <t>SIGTUNA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59165-2022</t>
        </is>
      </c>
      <c r="B99" s="1" t="n">
        <v>44904</v>
      </c>
      <c r="C99" s="1" t="n">
        <v>45739</v>
      </c>
      <c r="D99" t="inlineStr">
        <is>
          <t>STOCKHOLMS LÄN</t>
        </is>
      </c>
      <c r="E99" t="inlineStr">
        <is>
          <t>SIGTUNA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59168-2022</t>
        </is>
      </c>
      <c r="B100" s="1" t="n">
        <v>44904</v>
      </c>
      <c r="C100" s="1" t="n">
        <v>45739</v>
      </c>
      <c r="D100" t="inlineStr">
        <is>
          <t>STOCKHOLMS LÄN</t>
        </is>
      </c>
      <c r="E100" t="inlineStr">
        <is>
          <t>SIGTUNA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9250-2023</t>
        </is>
      </c>
      <c r="B101" s="1" t="n">
        <v>44980</v>
      </c>
      <c r="C101" s="1" t="n">
        <v>45739</v>
      </c>
      <c r="D101" t="inlineStr">
        <is>
          <t>STOCKHOLMS LÄN</t>
        </is>
      </c>
      <c r="E101" t="inlineStr">
        <is>
          <t>SIGTUNA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10790-2023</t>
        </is>
      </c>
      <c r="B102" s="1" t="n">
        <v>44989</v>
      </c>
      <c r="C102" s="1" t="n">
        <v>45739</v>
      </c>
      <c r="D102" t="inlineStr">
        <is>
          <t>STOCKHOLMS LÄN</t>
        </is>
      </c>
      <c r="E102" t="inlineStr">
        <is>
          <t>SIGTUNA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11285-2023</t>
        </is>
      </c>
      <c r="B103" s="1" t="n">
        <v>44992</v>
      </c>
      <c r="C103" s="1" t="n">
        <v>45739</v>
      </c>
      <c r="D103" t="inlineStr">
        <is>
          <t>STOCKHOLMS LÄN</t>
        </is>
      </c>
      <c r="E103" t="inlineStr">
        <is>
          <t>SIGTUNA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17318-2023</t>
        </is>
      </c>
      <c r="B104" s="1" t="n">
        <v>45035</v>
      </c>
      <c r="C104" s="1" t="n">
        <v>45739</v>
      </c>
      <c r="D104" t="inlineStr">
        <is>
          <t>STOCKHOLMS LÄN</t>
        </is>
      </c>
      <c r="E104" t="inlineStr">
        <is>
          <t>SIGTUNA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17320-2023</t>
        </is>
      </c>
      <c r="B105" s="1" t="n">
        <v>45035</v>
      </c>
      <c r="C105" s="1" t="n">
        <v>45739</v>
      </c>
      <c r="D105" t="inlineStr">
        <is>
          <t>STOCKHOLMS LÄN</t>
        </is>
      </c>
      <c r="E105" t="inlineStr">
        <is>
          <t>SIGTUNA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20375-2023</t>
        </is>
      </c>
      <c r="B106" s="1" t="n">
        <v>45054</v>
      </c>
      <c r="C106" s="1" t="n">
        <v>45739</v>
      </c>
      <c r="D106" t="inlineStr">
        <is>
          <t>STOCKHOLMS LÄN</t>
        </is>
      </c>
      <c r="E106" t="inlineStr">
        <is>
          <t>SIGTUNA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20363-2023</t>
        </is>
      </c>
      <c r="B107" s="1" t="n">
        <v>45054</v>
      </c>
      <c r="C107" s="1" t="n">
        <v>45739</v>
      </c>
      <c r="D107" t="inlineStr">
        <is>
          <t>STOCKHOLMS LÄN</t>
        </is>
      </c>
      <c r="E107" t="inlineStr">
        <is>
          <t>SIGTUNA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20960-2023</t>
        </is>
      </c>
      <c r="B108" s="1" t="n">
        <v>45061</v>
      </c>
      <c r="C108" s="1" t="n">
        <v>45739</v>
      </c>
      <c r="D108" t="inlineStr">
        <is>
          <t>STOCKHOLMS LÄN</t>
        </is>
      </c>
      <c r="E108" t="inlineStr">
        <is>
          <t>SIGTUNA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20957-2023</t>
        </is>
      </c>
      <c r="B109" s="1" t="n">
        <v>45061</v>
      </c>
      <c r="C109" s="1" t="n">
        <v>45739</v>
      </c>
      <c r="D109" t="inlineStr">
        <is>
          <t>STOCKHOLMS LÄN</t>
        </is>
      </c>
      <c r="E109" t="inlineStr">
        <is>
          <t>SIGTUNA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25531-2023</t>
        </is>
      </c>
      <c r="B110" s="1" t="n">
        <v>45082</v>
      </c>
      <c r="C110" s="1" t="n">
        <v>45739</v>
      </c>
      <c r="D110" t="inlineStr">
        <is>
          <t>STOCKHOLMS LÄN</t>
        </is>
      </c>
      <c r="E110" t="inlineStr">
        <is>
          <t>SIGTUNA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24636-2023</t>
        </is>
      </c>
      <c r="B111" s="1" t="n">
        <v>45084</v>
      </c>
      <c r="C111" s="1" t="n">
        <v>45739</v>
      </c>
      <c r="D111" t="inlineStr">
        <is>
          <t>STOCKHOLMS LÄN</t>
        </is>
      </c>
      <c r="E111" t="inlineStr">
        <is>
          <t>SIGTUNA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25459-2023</t>
        </is>
      </c>
      <c r="B112" s="1" t="n">
        <v>45089</v>
      </c>
      <c r="C112" s="1" t="n">
        <v>45739</v>
      </c>
      <c r="D112" t="inlineStr">
        <is>
          <t>STOCKHOLMS LÄN</t>
        </is>
      </c>
      <c r="E112" t="inlineStr">
        <is>
          <t>SIGTUNA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25464-2023</t>
        </is>
      </c>
      <c r="B113" s="1" t="n">
        <v>45089</v>
      </c>
      <c r="C113" s="1" t="n">
        <v>45739</v>
      </c>
      <c r="D113" t="inlineStr">
        <is>
          <t>STOCKHOLMS LÄN</t>
        </is>
      </c>
      <c r="E113" t="inlineStr">
        <is>
          <t>SIGTUNA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25452-2023</t>
        </is>
      </c>
      <c r="B114" s="1" t="n">
        <v>45089</v>
      </c>
      <c r="C114" s="1" t="n">
        <v>45739</v>
      </c>
      <c r="D114" t="inlineStr">
        <is>
          <t>STOCKHOLMS LÄN</t>
        </is>
      </c>
      <c r="E114" t="inlineStr">
        <is>
          <t>SIGTUNA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25468-2023</t>
        </is>
      </c>
      <c r="B115" s="1" t="n">
        <v>45089</v>
      </c>
      <c r="C115" s="1" t="n">
        <v>45739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32420-2023</t>
        </is>
      </c>
      <c r="B116" s="1" t="n">
        <v>45110</v>
      </c>
      <c r="C116" s="1" t="n">
        <v>45739</v>
      </c>
      <c r="D116" t="inlineStr">
        <is>
          <t>STOCKHOLMS LÄN</t>
        </is>
      </c>
      <c r="E116" t="inlineStr">
        <is>
          <t>SIGTUNA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32424-2023</t>
        </is>
      </c>
      <c r="B117" s="1" t="n">
        <v>45110</v>
      </c>
      <c r="C117" s="1" t="n">
        <v>45739</v>
      </c>
      <c r="D117" t="inlineStr">
        <is>
          <t>STOCKHOLMS LÄN</t>
        </is>
      </c>
      <c r="E117" t="inlineStr">
        <is>
          <t>SIGTUNA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32426-2023</t>
        </is>
      </c>
      <c r="B118" s="1" t="n">
        <v>45110</v>
      </c>
      <c r="C118" s="1" t="n">
        <v>45739</v>
      </c>
      <c r="D118" t="inlineStr">
        <is>
          <t>STOCKHOLMS LÄN</t>
        </is>
      </c>
      <c r="E118" t="inlineStr">
        <is>
          <t>SIGTUNA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30571-2023</t>
        </is>
      </c>
      <c r="B119" s="1" t="n">
        <v>45111</v>
      </c>
      <c r="C119" s="1" t="n">
        <v>45739</v>
      </c>
      <c r="D119" t="inlineStr">
        <is>
          <t>STOCKHOLMS LÄN</t>
        </is>
      </c>
      <c r="E119" t="inlineStr">
        <is>
          <t>SIGTUNA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31042-2023</t>
        </is>
      </c>
      <c r="B120" s="1" t="n">
        <v>45113</v>
      </c>
      <c r="C120" s="1" t="n">
        <v>45739</v>
      </c>
      <c r="D120" t="inlineStr">
        <is>
          <t>STOCKHOLMS LÄN</t>
        </is>
      </c>
      <c r="E120" t="inlineStr">
        <is>
          <t>SIGTUNA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38276-2023</t>
        </is>
      </c>
      <c r="B121" s="1" t="n">
        <v>45160</v>
      </c>
      <c r="C121" s="1" t="n">
        <v>45739</v>
      </c>
      <c r="D121" t="inlineStr">
        <is>
          <t>STOCKHOLMS LÄN</t>
        </is>
      </c>
      <c r="E121" t="inlineStr">
        <is>
          <t>SIGTUNA</t>
        </is>
      </c>
      <c r="G121" t="n">
        <v>18.1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38465-2023</t>
        </is>
      </c>
      <c r="B122" s="1" t="n">
        <v>45162</v>
      </c>
      <c r="C122" s="1" t="n">
        <v>45739</v>
      </c>
      <c r="D122" t="inlineStr">
        <is>
          <t>STOCKHOLMS LÄN</t>
        </is>
      </c>
      <c r="E122" t="inlineStr">
        <is>
          <t>SIGTUNA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40338-2023</t>
        </is>
      </c>
      <c r="B123" s="1" t="n">
        <v>45169</v>
      </c>
      <c r="C123" s="1" t="n">
        <v>45739</v>
      </c>
      <c r="D123" t="inlineStr">
        <is>
          <t>STOCKHOLMS LÄN</t>
        </is>
      </c>
      <c r="E123" t="inlineStr">
        <is>
          <t>SIGTUNA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41702-2023</t>
        </is>
      </c>
      <c r="B124" s="1" t="n">
        <v>45176</v>
      </c>
      <c r="C124" s="1" t="n">
        <v>45739</v>
      </c>
      <c r="D124" t="inlineStr">
        <is>
          <t>STOCKHOLMS LÄN</t>
        </is>
      </c>
      <c r="E124" t="inlineStr">
        <is>
          <t>SIGTUNA</t>
        </is>
      </c>
      <c r="F124" t="inlineStr">
        <is>
          <t>Allmännings- och besparingsskogar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41723-2023</t>
        </is>
      </c>
      <c r="B125" s="1" t="n">
        <v>45176</v>
      </c>
      <c r="C125" s="1" t="n">
        <v>45739</v>
      </c>
      <c r="D125" t="inlineStr">
        <is>
          <t>STOCKHOLMS LÄN</t>
        </is>
      </c>
      <c r="E125" t="inlineStr">
        <is>
          <t>SIGTUNA</t>
        </is>
      </c>
      <c r="F125" t="inlineStr">
        <is>
          <t>Allmännings- och besparingsskogar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41952-2023</t>
        </is>
      </c>
      <c r="B126" s="1" t="n">
        <v>45177</v>
      </c>
      <c r="C126" s="1" t="n">
        <v>45739</v>
      </c>
      <c r="D126" t="inlineStr">
        <is>
          <t>STOCKHOLMS LÄN</t>
        </is>
      </c>
      <c r="E126" t="inlineStr">
        <is>
          <t>SIGTUNA</t>
        </is>
      </c>
      <c r="F126" t="inlineStr">
        <is>
          <t>Allmännings- och besparingsskogar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43593-2023</t>
        </is>
      </c>
      <c r="B127" s="1" t="n">
        <v>45184</v>
      </c>
      <c r="C127" s="1" t="n">
        <v>45739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43700-2023</t>
        </is>
      </c>
      <c r="B128" s="1" t="n">
        <v>45187</v>
      </c>
      <c r="C128" s="1" t="n">
        <v>45739</v>
      </c>
      <c r="D128" t="inlineStr">
        <is>
          <t>STOCKHOLMS LÄN</t>
        </is>
      </c>
      <c r="E128" t="inlineStr">
        <is>
          <t>SIGTUNA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45319-2023</t>
        </is>
      </c>
      <c r="B129" s="1" t="n">
        <v>45191</v>
      </c>
      <c r="C129" s="1" t="n">
        <v>45739</v>
      </c>
      <c r="D129" t="inlineStr">
        <is>
          <t>STOCKHOLMS LÄN</t>
        </is>
      </c>
      <c r="E129" t="inlineStr">
        <is>
          <t>SIGTUNA</t>
        </is>
      </c>
      <c r="F129" t="inlineStr">
        <is>
          <t>Allmännings- och besparingsskogar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46757-2023</t>
        </is>
      </c>
      <c r="B130" s="1" t="n">
        <v>45198</v>
      </c>
      <c r="C130" s="1" t="n">
        <v>45739</v>
      </c>
      <c r="D130" t="inlineStr">
        <is>
          <t>STOCKHOLMS LÄN</t>
        </is>
      </c>
      <c r="E130" t="inlineStr">
        <is>
          <t>SIGTUNA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47204-2023</t>
        </is>
      </c>
      <c r="B131" s="1" t="n">
        <v>45202</v>
      </c>
      <c r="C131" s="1" t="n">
        <v>45739</v>
      </c>
      <c r="D131" t="inlineStr">
        <is>
          <t>STOCKHOLMS LÄN</t>
        </is>
      </c>
      <c r="E131" t="inlineStr">
        <is>
          <t>SIGTUNA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49589-2023</t>
        </is>
      </c>
      <c r="B132" s="1" t="n">
        <v>45211</v>
      </c>
      <c r="C132" s="1" t="n">
        <v>45739</v>
      </c>
      <c r="D132" t="inlineStr">
        <is>
          <t>STOCKHOLMS LÄN</t>
        </is>
      </c>
      <c r="E132" t="inlineStr">
        <is>
          <t>SIGTUNA</t>
        </is>
      </c>
      <c r="G132" t="n">
        <v>10.5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49591-2023</t>
        </is>
      </c>
      <c r="B133" s="1" t="n">
        <v>45211</v>
      </c>
      <c r="C133" s="1" t="n">
        <v>45739</v>
      </c>
      <c r="D133" t="inlineStr">
        <is>
          <t>STOCKHOLMS LÄN</t>
        </is>
      </c>
      <c r="E133" t="inlineStr">
        <is>
          <t>SIGTUNA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49592-2023</t>
        </is>
      </c>
      <c r="B134" s="1" t="n">
        <v>45211</v>
      </c>
      <c r="C134" s="1" t="n">
        <v>45739</v>
      </c>
      <c r="D134" t="inlineStr">
        <is>
          <t>STOCKHOLMS LÄN</t>
        </is>
      </c>
      <c r="E134" t="inlineStr">
        <is>
          <t>SIGTUNA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51770-2023</t>
        </is>
      </c>
      <c r="B135" s="1" t="n">
        <v>45222</v>
      </c>
      <c r="C135" s="1" t="n">
        <v>45739</v>
      </c>
      <c r="D135" t="inlineStr">
        <is>
          <t>STOCKHOLMS LÄN</t>
        </is>
      </c>
      <c r="E135" t="inlineStr">
        <is>
          <t>SIGTUNA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58675-2023</t>
        </is>
      </c>
      <c r="B136" s="1" t="n">
        <v>45247</v>
      </c>
      <c r="C136" s="1" t="n">
        <v>45739</v>
      </c>
      <c r="D136" t="inlineStr">
        <is>
          <t>STOCKHOLMS LÄN</t>
        </is>
      </c>
      <c r="E136" t="inlineStr">
        <is>
          <t>SIGTUNA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58649-2023</t>
        </is>
      </c>
      <c r="B137" s="1" t="n">
        <v>45251</v>
      </c>
      <c r="C137" s="1" t="n">
        <v>45739</v>
      </c>
      <c r="D137" t="inlineStr">
        <is>
          <t>STOCKHOLMS LÄN</t>
        </is>
      </c>
      <c r="E137" t="inlineStr">
        <is>
          <t>SIGTUNA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58620-2023</t>
        </is>
      </c>
      <c r="B138" s="1" t="n">
        <v>45251</v>
      </c>
      <c r="C138" s="1" t="n">
        <v>45739</v>
      </c>
      <c r="D138" t="inlineStr">
        <is>
          <t>STOCKHOLMS LÄN</t>
        </is>
      </c>
      <c r="E138" t="inlineStr">
        <is>
          <t>SIGTUNA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58619-2023</t>
        </is>
      </c>
      <c r="B139" s="1" t="n">
        <v>45251</v>
      </c>
      <c r="C139" s="1" t="n">
        <v>45739</v>
      </c>
      <c r="D139" t="inlineStr">
        <is>
          <t>STOCKHOLMS LÄN</t>
        </is>
      </c>
      <c r="E139" t="inlineStr">
        <is>
          <t>SIGTUNA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58647-2023</t>
        </is>
      </c>
      <c r="B140" s="1" t="n">
        <v>45251</v>
      </c>
      <c r="C140" s="1" t="n">
        <v>45739</v>
      </c>
      <c r="D140" t="inlineStr">
        <is>
          <t>STOCKHOLMS LÄN</t>
        </is>
      </c>
      <c r="E140" t="inlineStr">
        <is>
          <t>SIGTUNA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59948-2023</t>
        </is>
      </c>
      <c r="B141" s="1" t="n">
        <v>45257</v>
      </c>
      <c r="C141" s="1" t="n">
        <v>45739</v>
      </c>
      <c r="D141" t="inlineStr">
        <is>
          <t>STOCKHOLMS LÄN</t>
        </is>
      </c>
      <c r="E141" t="inlineStr">
        <is>
          <t>SIGTUNA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59957-2023</t>
        </is>
      </c>
      <c r="B142" s="1" t="n">
        <v>45257</v>
      </c>
      <c r="C142" s="1" t="n">
        <v>45739</v>
      </c>
      <c r="D142" t="inlineStr">
        <is>
          <t>STOCKHOLMS LÄN</t>
        </is>
      </c>
      <c r="E142" t="inlineStr">
        <is>
          <t>SIGTUNA</t>
        </is>
      </c>
      <c r="F142" t="inlineStr">
        <is>
          <t>Sveaskog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59958-2023</t>
        </is>
      </c>
      <c r="B143" s="1" t="n">
        <v>45257</v>
      </c>
      <c r="C143" s="1" t="n">
        <v>45739</v>
      </c>
      <c r="D143" t="inlineStr">
        <is>
          <t>STOCKHOLMS LÄN</t>
        </is>
      </c>
      <c r="E143" t="inlineStr">
        <is>
          <t>SIGTUNA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59946-2023</t>
        </is>
      </c>
      <c r="B144" s="1" t="n">
        <v>45257</v>
      </c>
      <c r="C144" s="1" t="n">
        <v>45739</v>
      </c>
      <c r="D144" t="inlineStr">
        <is>
          <t>STOCKHOLMS LÄN</t>
        </is>
      </c>
      <c r="E144" t="inlineStr">
        <is>
          <t>SIGTUNA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60155-2023</t>
        </is>
      </c>
      <c r="B145" s="1" t="n">
        <v>45258</v>
      </c>
      <c r="C145" s="1" t="n">
        <v>45739</v>
      </c>
      <c r="D145" t="inlineStr">
        <is>
          <t>STOCKHOLMS LÄN</t>
        </is>
      </c>
      <c r="E145" t="inlineStr">
        <is>
          <t>SIGTUNA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60159-2023</t>
        </is>
      </c>
      <c r="B146" s="1" t="n">
        <v>45258</v>
      </c>
      <c r="C146" s="1" t="n">
        <v>45739</v>
      </c>
      <c r="D146" t="inlineStr">
        <is>
          <t>STOCKHOLMS LÄN</t>
        </is>
      </c>
      <c r="E146" t="inlineStr">
        <is>
          <t>SIGTUNA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60927-2023</t>
        </is>
      </c>
      <c r="B147" s="1" t="n">
        <v>45261</v>
      </c>
      <c r="C147" s="1" t="n">
        <v>45739</v>
      </c>
      <c r="D147" t="inlineStr">
        <is>
          <t>STOCKHOLMS LÄN</t>
        </is>
      </c>
      <c r="E147" t="inlineStr">
        <is>
          <t>SIGTUNA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60935-2023</t>
        </is>
      </c>
      <c r="B148" s="1" t="n">
        <v>45261</v>
      </c>
      <c r="C148" s="1" t="n">
        <v>45739</v>
      </c>
      <c r="D148" t="inlineStr">
        <is>
          <t>STOCKHOLMS LÄN</t>
        </is>
      </c>
      <c r="E148" t="inlineStr">
        <is>
          <t>SIGTUNA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60932-2023</t>
        </is>
      </c>
      <c r="B149" s="1" t="n">
        <v>45261</v>
      </c>
      <c r="C149" s="1" t="n">
        <v>45739</v>
      </c>
      <c r="D149" t="inlineStr">
        <is>
          <t>STOCKHOLMS LÄN</t>
        </is>
      </c>
      <c r="E149" t="inlineStr">
        <is>
          <t>SIGTUNA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60922-2023</t>
        </is>
      </c>
      <c r="B150" s="1" t="n">
        <v>45261</v>
      </c>
      <c r="C150" s="1" t="n">
        <v>45739</v>
      </c>
      <c r="D150" t="inlineStr">
        <is>
          <t>STOCKHOLMS LÄN</t>
        </is>
      </c>
      <c r="E150" t="inlineStr">
        <is>
          <t>SIGTUNA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60934-2023</t>
        </is>
      </c>
      <c r="B151" s="1" t="n">
        <v>45261</v>
      </c>
      <c r="C151" s="1" t="n">
        <v>45739</v>
      </c>
      <c r="D151" t="inlineStr">
        <is>
          <t>STOCKHOLMS LÄN</t>
        </is>
      </c>
      <c r="E151" t="inlineStr">
        <is>
          <t>SIGTUNA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62010-2023</t>
        </is>
      </c>
      <c r="B152" s="1" t="n">
        <v>45266</v>
      </c>
      <c r="C152" s="1" t="n">
        <v>45739</v>
      </c>
      <c r="D152" t="inlineStr">
        <is>
          <t>STOCKHOLMS LÄN</t>
        </is>
      </c>
      <c r="E152" t="inlineStr">
        <is>
          <t>SIGTUNA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1971-2024</t>
        </is>
      </c>
      <c r="B153" s="1" t="n">
        <v>45308</v>
      </c>
      <c r="C153" s="1" t="n">
        <v>45739</v>
      </c>
      <c r="D153" t="inlineStr">
        <is>
          <t>STOCKHOLMS LÄN</t>
        </is>
      </c>
      <c r="E153" t="inlineStr">
        <is>
          <t>SIGTUNA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2496-2024</t>
        </is>
      </c>
      <c r="B154" s="1" t="n">
        <v>45313</v>
      </c>
      <c r="C154" s="1" t="n">
        <v>45739</v>
      </c>
      <c r="D154" t="inlineStr">
        <is>
          <t>STOCKHOLMS LÄN</t>
        </is>
      </c>
      <c r="E154" t="inlineStr">
        <is>
          <t>SIGTUNA</t>
        </is>
      </c>
      <c r="F154" t="inlineStr">
        <is>
          <t>Kommuner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5142-2024</t>
        </is>
      </c>
      <c r="B155" s="1" t="n">
        <v>45330</v>
      </c>
      <c r="C155" s="1" t="n">
        <v>45739</v>
      </c>
      <c r="D155" t="inlineStr">
        <is>
          <t>STOCKHOLMS LÄN</t>
        </is>
      </c>
      <c r="E155" t="inlineStr">
        <is>
          <t>SIGTUNA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7096-2024</t>
        </is>
      </c>
      <c r="B156" s="1" t="n">
        <v>45343</v>
      </c>
      <c r="C156" s="1" t="n">
        <v>45739</v>
      </c>
      <c r="D156" t="inlineStr">
        <is>
          <t>STOCKHOLMS LÄN</t>
        </is>
      </c>
      <c r="E156" t="inlineStr">
        <is>
          <t>SIGTUNA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7145-2024</t>
        </is>
      </c>
      <c r="B157" s="1" t="n">
        <v>45344</v>
      </c>
      <c r="C157" s="1" t="n">
        <v>45739</v>
      </c>
      <c r="D157" t="inlineStr">
        <is>
          <t>STOCKHOLMS LÄN</t>
        </is>
      </c>
      <c r="E157" t="inlineStr">
        <is>
          <t>SIGTUNA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7142-2024</t>
        </is>
      </c>
      <c r="B158" s="1" t="n">
        <v>45344</v>
      </c>
      <c r="C158" s="1" t="n">
        <v>45739</v>
      </c>
      <c r="D158" t="inlineStr">
        <is>
          <t>STOCKHOLMS LÄN</t>
        </is>
      </c>
      <c r="E158" t="inlineStr">
        <is>
          <t>SIGTUNA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7143-2024</t>
        </is>
      </c>
      <c r="B159" s="1" t="n">
        <v>45344</v>
      </c>
      <c r="C159" s="1" t="n">
        <v>45739</v>
      </c>
      <c r="D159" t="inlineStr">
        <is>
          <t>STOCKHOLMS LÄN</t>
        </is>
      </c>
      <c r="E159" t="inlineStr">
        <is>
          <t>SIGTUNA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7966-2024</t>
        </is>
      </c>
      <c r="B160" s="1" t="n">
        <v>45350</v>
      </c>
      <c r="C160" s="1" t="n">
        <v>45739</v>
      </c>
      <c r="D160" t="inlineStr">
        <is>
          <t>STOCKHOLMS LÄN</t>
        </is>
      </c>
      <c r="E160" t="inlineStr">
        <is>
          <t>SIGTUNA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7970-2024</t>
        </is>
      </c>
      <c r="B161" s="1" t="n">
        <v>45350</v>
      </c>
      <c r="C161" s="1" t="n">
        <v>45739</v>
      </c>
      <c r="D161" t="inlineStr">
        <is>
          <t>STOCKHOLMS LÄN</t>
        </is>
      </c>
      <c r="E161" t="inlineStr">
        <is>
          <t>SIGTUNA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7975-2024</t>
        </is>
      </c>
      <c r="B162" s="1" t="n">
        <v>45350</v>
      </c>
      <c r="C162" s="1" t="n">
        <v>45739</v>
      </c>
      <c r="D162" t="inlineStr">
        <is>
          <t>STOCKHOLMS LÄN</t>
        </is>
      </c>
      <c r="E162" t="inlineStr">
        <is>
          <t>SIGTUNA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9856-2024</t>
        </is>
      </c>
      <c r="B163" s="1" t="n">
        <v>45363</v>
      </c>
      <c r="C163" s="1" t="n">
        <v>45739</v>
      </c>
      <c r="D163" t="inlineStr">
        <is>
          <t>STOCKHOLMS LÄN</t>
        </is>
      </c>
      <c r="E163" t="inlineStr">
        <is>
          <t>SIGTUNA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19031-2024</t>
        </is>
      </c>
      <c r="B164" s="1" t="n">
        <v>45427</v>
      </c>
      <c r="C164" s="1" t="n">
        <v>45739</v>
      </c>
      <c r="D164" t="inlineStr">
        <is>
          <t>STOCKHOLMS LÄN</t>
        </is>
      </c>
      <c r="E164" t="inlineStr">
        <is>
          <t>SIGTUNA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20215-2024</t>
        </is>
      </c>
      <c r="B165" s="1" t="n">
        <v>45434</v>
      </c>
      <c r="C165" s="1" t="n">
        <v>45739</v>
      </c>
      <c r="D165" t="inlineStr">
        <is>
          <t>STOCKHOLMS LÄN</t>
        </is>
      </c>
      <c r="E165" t="inlineStr">
        <is>
          <t>SIGTUNA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24967-2024</t>
        </is>
      </c>
      <c r="B166" s="1" t="n">
        <v>45461</v>
      </c>
      <c r="C166" s="1" t="n">
        <v>45739</v>
      </c>
      <c r="D166" t="inlineStr">
        <is>
          <t>STOCKHOLMS LÄN</t>
        </is>
      </c>
      <c r="E166" t="inlineStr">
        <is>
          <t>SIGTUNA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24946-2024</t>
        </is>
      </c>
      <c r="B167" s="1" t="n">
        <v>45461</v>
      </c>
      <c r="C167" s="1" t="n">
        <v>45739</v>
      </c>
      <c r="D167" t="inlineStr">
        <is>
          <t>STOCKHOLMS LÄN</t>
        </is>
      </c>
      <c r="E167" t="inlineStr">
        <is>
          <t>SIGTUNA</t>
        </is>
      </c>
      <c r="G167" t="n">
        <v>12.5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25337-2024</t>
        </is>
      </c>
      <c r="B168" s="1" t="n">
        <v>45462</v>
      </c>
      <c r="C168" s="1" t="n">
        <v>45739</v>
      </c>
      <c r="D168" t="inlineStr">
        <is>
          <t>STOCKHOLMS LÄN</t>
        </is>
      </c>
      <c r="E168" t="inlineStr">
        <is>
          <t>SIGTUNA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25333-2024</t>
        </is>
      </c>
      <c r="B169" s="1" t="n">
        <v>45462</v>
      </c>
      <c r="C169" s="1" t="n">
        <v>45739</v>
      </c>
      <c r="D169" t="inlineStr">
        <is>
          <t>STOCKHOLMS LÄN</t>
        </is>
      </c>
      <c r="E169" t="inlineStr">
        <is>
          <t>SIGTUNA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25336-2024</t>
        </is>
      </c>
      <c r="B170" s="1" t="n">
        <v>45462</v>
      </c>
      <c r="C170" s="1" t="n">
        <v>45739</v>
      </c>
      <c r="D170" t="inlineStr">
        <is>
          <t>STOCKHOLMS LÄN</t>
        </is>
      </c>
      <c r="E170" t="inlineStr">
        <is>
          <t>SIGTUNA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25641-2024</t>
        </is>
      </c>
      <c r="B171" s="1" t="n">
        <v>45463</v>
      </c>
      <c r="C171" s="1" t="n">
        <v>45739</v>
      </c>
      <c r="D171" t="inlineStr">
        <is>
          <t>STOCKHOLMS LÄN</t>
        </is>
      </c>
      <c r="E171" t="inlineStr">
        <is>
          <t>SIGTUNA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28752-2024</t>
        </is>
      </c>
      <c r="B172" s="1" t="n">
        <v>45478</v>
      </c>
      <c r="C172" s="1" t="n">
        <v>45739</v>
      </c>
      <c r="D172" t="inlineStr">
        <is>
          <t>STOCKHOLMS LÄN</t>
        </is>
      </c>
      <c r="E172" t="inlineStr">
        <is>
          <t>SIGTUNA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33329-2024</t>
        </is>
      </c>
      <c r="B173" s="1" t="n">
        <v>45519</v>
      </c>
      <c r="C173" s="1" t="n">
        <v>45739</v>
      </c>
      <c r="D173" t="inlineStr">
        <is>
          <t>STOCKHOLMS LÄN</t>
        </is>
      </c>
      <c r="E173" t="inlineStr">
        <is>
          <t>SIGTUNA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35966-2024</t>
        </is>
      </c>
      <c r="B174" s="1" t="n">
        <v>45533</v>
      </c>
      <c r="C174" s="1" t="n">
        <v>45739</v>
      </c>
      <c r="D174" t="inlineStr">
        <is>
          <t>STOCKHOLMS LÄN</t>
        </is>
      </c>
      <c r="E174" t="inlineStr">
        <is>
          <t>SIGTUNA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35958-2024</t>
        </is>
      </c>
      <c r="B175" s="1" t="n">
        <v>45533</v>
      </c>
      <c r="C175" s="1" t="n">
        <v>45739</v>
      </c>
      <c r="D175" t="inlineStr">
        <is>
          <t>STOCKHOLMS LÄN</t>
        </is>
      </c>
      <c r="E175" t="inlineStr">
        <is>
          <t>SIGTUNA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35961-2024</t>
        </is>
      </c>
      <c r="B176" s="1" t="n">
        <v>45533</v>
      </c>
      <c r="C176" s="1" t="n">
        <v>45739</v>
      </c>
      <c r="D176" t="inlineStr">
        <is>
          <t>STOCKHOLMS LÄN</t>
        </is>
      </c>
      <c r="E176" t="inlineStr">
        <is>
          <t>SIGTUNA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36195-2024</t>
        </is>
      </c>
      <c r="B177" s="1" t="n">
        <v>45534</v>
      </c>
      <c r="C177" s="1" t="n">
        <v>45739</v>
      </c>
      <c r="D177" t="inlineStr">
        <is>
          <t>STOCKHOLMS LÄN</t>
        </is>
      </c>
      <c r="E177" t="inlineStr">
        <is>
          <t>SIGTUNA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36207-2024</t>
        </is>
      </c>
      <c r="B178" s="1" t="n">
        <v>45534</v>
      </c>
      <c r="C178" s="1" t="n">
        <v>45739</v>
      </c>
      <c r="D178" t="inlineStr">
        <is>
          <t>STOCKHOLMS LÄN</t>
        </is>
      </c>
      <c r="E178" t="inlineStr">
        <is>
          <t>SIGTUNA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37388-2024</t>
        </is>
      </c>
      <c r="B179" s="1" t="n">
        <v>45540</v>
      </c>
      <c r="C179" s="1" t="n">
        <v>45739</v>
      </c>
      <c r="D179" t="inlineStr">
        <is>
          <t>STOCKHOLMS LÄN</t>
        </is>
      </c>
      <c r="E179" t="inlineStr">
        <is>
          <t>SIGTUNA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37392-2024</t>
        </is>
      </c>
      <c r="B180" s="1" t="n">
        <v>45540</v>
      </c>
      <c r="C180" s="1" t="n">
        <v>45739</v>
      </c>
      <c r="D180" t="inlineStr">
        <is>
          <t>STOCKHOLMS LÄN</t>
        </is>
      </c>
      <c r="E180" t="inlineStr">
        <is>
          <t>SIGTUNA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37396-2024</t>
        </is>
      </c>
      <c r="B181" s="1" t="n">
        <v>45540</v>
      </c>
      <c r="C181" s="1" t="n">
        <v>45739</v>
      </c>
      <c r="D181" t="inlineStr">
        <is>
          <t>STOCKHOLMS LÄN</t>
        </is>
      </c>
      <c r="E181" t="inlineStr">
        <is>
          <t>SIGTUNA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37398-2024</t>
        </is>
      </c>
      <c r="B182" s="1" t="n">
        <v>45540</v>
      </c>
      <c r="C182" s="1" t="n">
        <v>45739</v>
      </c>
      <c r="D182" t="inlineStr">
        <is>
          <t>STOCKHOLMS LÄN</t>
        </is>
      </c>
      <c r="E182" t="inlineStr">
        <is>
          <t>SIGTUNA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37385-2024</t>
        </is>
      </c>
      <c r="B183" s="1" t="n">
        <v>45540</v>
      </c>
      <c r="C183" s="1" t="n">
        <v>45739</v>
      </c>
      <c r="D183" t="inlineStr">
        <is>
          <t>STOCKHOLMS LÄN</t>
        </is>
      </c>
      <c r="E183" t="inlineStr">
        <is>
          <t>SIGTUNA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  <c r="U183">
        <f>HYPERLINK("https://klasma.github.io/Logging_0191/knärot/A 37385-2024 karta knärot.png", "A 37385-2024")</f>
        <v/>
      </c>
      <c r="V183">
        <f>HYPERLINK("https://klasma.github.io/Logging_0191/klagomål/A 37385-2024 FSC-klagomål.docx", "A 37385-2024")</f>
        <v/>
      </c>
      <c r="W183">
        <f>HYPERLINK("https://klasma.github.io/Logging_0191/klagomålsmail/A 37385-2024 FSC-klagomål mail.docx", "A 37385-2024")</f>
        <v/>
      </c>
      <c r="X183">
        <f>HYPERLINK("https://klasma.github.io/Logging_0191/tillsyn/A 37385-2024 tillsynsbegäran.docx", "A 37385-2024")</f>
        <v/>
      </c>
      <c r="Y183">
        <f>HYPERLINK("https://klasma.github.io/Logging_0191/tillsynsmail/A 37385-2024 tillsynsbegäran mail.docx", "A 37385-2024")</f>
        <v/>
      </c>
    </row>
    <row r="184" ht="15" customHeight="1">
      <c r="A184" t="inlineStr">
        <is>
          <t>A 40643-2024</t>
        </is>
      </c>
      <c r="B184" s="1" t="n">
        <v>45558</v>
      </c>
      <c r="C184" s="1" t="n">
        <v>45739</v>
      </c>
      <c r="D184" t="inlineStr">
        <is>
          <t>STOCKHOLMS LÄN</t>
        </is>
      </c>
      <c r="E184" t="inlineStr">
        <is>
          <t>SIGTUNA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42572-2024</t>
        </is>
      </c>
      <c r="B185" s="1" t="n">
        <v>45565</v>
      </c>
      <c r="C185" s="1" t="n">
        <v>45739</v>
      </c>
      <c r="D185" t="inlineStr">
        <is>
          <t>STOCKHOLMS LÄN</t>
        </is>
      </c>
      <c r="E185" t="inlineStr">
        <is>
          <t>SIGTUNA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42569-2024</t>
        </is>
      </c>
      <c r="B186" s="1" t="n">
        <v>45565</v>
      </c>
      <c r="C186" s="1" t="n">
        <v>45739</v>
      </c>
      <c r="D186" t="inlineStr">
        <is>
          <t>STOCKHOLMS LÄN</t>
        </is>
      </c>
      <c r="E186" t="inlineStr">
        <is>
          <t>SIGTUNA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42567-2024</t>
        </is>
      </c>
      <c r="B187" s="1" t="n">
        <v>45565</v>
      </c>
      <c r="C187" s="1" t="n">
        <v>45739</v>
      </c>
      <c r="D187" t="inlineStr">
        <is>
          <t>STOCKHOLMS LÄN</t>
        </is>
      </c>
      <c r="E187" t="inlineStr">
        <is>
          <t>SIGTUNA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42563-2024</t>
        </is>
      </c>
      <c r="B188" s="1" t="n">
        <v>45565</v>
      </c>
      <c r="C188" s="1" t="n">
        <v>45739</v>
      </c>
      <c r="D188" t="inlineStr">
        <is>
          <t>STOCKHOLMS LÄN</t>
        </is>
      </c>
      <c r="E188" t="inlineStr">
        <is>
          <t>SIGTUNA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42772-2024</t>
        </is>
      </c>
      <c r="B189" s="1" t="n">
        <v>45566</v>
      </c>
      <c r="C189" s="1" t="n">
        <v>45739</v>
      </c>
      <c r="D189" t="inlineStr">
        <is>
          <t>STOCKHOLMS LÄN</t>
        </is>
      </c>
      <c r="E189" t="inlineStr">
        <is>
          <t>SIGTUNA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43159-2024</t>
        </is>
      </c>
      <c r="B190" s="1" t="n">
        <v>45567</v>
      </c>
      <c r="C190" s="1" t="n">
        <v>45739</v>
      </c>
      <c r="D190" t="inlineStr">
        <is>
          <t>STOCKHOLMS LÄN</t>
        </is>
      </c>
      <c r="E190" t="inlineStr">
        <is>
          <t>SIGTUNA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43158-2024</t>
        </is>
      </c>
      <c r="B191" s="1" t="n">
        <v>45567</v>
      </c>
      <c r="C191" s="1" t="n">
        <v>45739</v>
      </c>
      <c r="D191" t="inlineStr">
        <is>
          <t>STOCKHOLMS LÄN</t>
        </is>
      </c>
      <c r="E191" t="inlineStr">
        <is>
          <t>SIGTUNA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43152-2024</t>
        </is>
      </c>
      <c r="B192" s="1" t="n">
        <v>45567</v>
      </c>
      <c r="C192" s="1" t="n">
        <v>45739</v>
      </c>
      <c r="D192" t="inlineStr">
        <is>
          <t>STOCKHOLMS LÄN</t>
        </is>
      </c>
      <c r="E192" t="inlineStr">
        <is>
          <t>SIGTUNA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45233-2024</t>
        </is>
      </c>
      <c r="B193" s="1" t="n">
        <v>45575</v>
      </c>
      <c r="C193" s="1" t="n">
        <v>45739</v>
      </c>
      <c r="D193" t="inlineStr">
        <is>
          <t>STOCKHOLMS LÄN</t>
        </is>
      </c>
      <c r="E193" t="inlineStr">
        <is>
          <t>SIGTUNA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48384-2024</t>
        </is>
      </c>
      <c r="B194" s="1" t="n">
        <v>45590</v>
      </c>
      <c r="C194" s="1" t="n">
        <v>45739</v>
      </c>
      <c r="D194" t="inlineStr">
        <is>
          <t>STOCKHOLMS LÄN</t>
        </is>
      </c>
      <c r="E194" t="inlineStr">
        <is>
          <t>SIGTUNA</t>
        </is>
      </c>
      <c r="F194" t="inlineStr">
        <is>
          <t>Allmännings- och besparingsskogar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48375-2024</t>
        </is>
      </c>
      <c r="B195" s="1" t="n">
        <v>45590</v>
      </c>
      <c r="C195" s="1" t="n">
        <v>45739</v>
      </c>
      <c r="D195" t="inlineStr">
        <is>
          <t>STOCKHOLMS LÄN</t>
        </is>
      </c>
      <c r="E195" t="inlineStr">
        <is>
          <t>SIGTUNA</t>
        </is>
      </c>
      <c r="F195" t="inlineStr">
        <is>
          <t>Allmännings- och besparingsskogar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51902-2024</t>
        </is>
      </c>
      <c r="B196" s="1" t="n">
        <v>45607</v>
      </c>
      <c r="C196" s="1" t="n">
        <v>45739</v>
      </c>
      <c r="D196" t="inlineStr">
        <is>
          <t>STOCKHOLMS LÄN</t>
        </is>
      </c>
      <c r="E196" t="inlineStr">
        <is>
          <t>SIGTUNA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51848-2024</t>
        </is>
      </c>
      <c r="B197" s="1" t="n">
        <v>45607</v>
      </c>
      <c r="C197" s="1" t="n">
        <v>45739</v>
      </c>
      <c r="D197" t="inlineStr">
        <is>
          <t>STOCKHOLMS LÄN</t>
        </is>
      </c>
      <c r="E197" t="inlineStr">
        <is>
          <t>SIGTUNA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59156-2024</t>
        </is>
      </c>
      <c r="B198" s="1" t="n">
        <v>45636</v>
      </c>
      <c r="C198" s="1" t="n">
        <v>45739</v>
      </c>
      <c r="D198" t="inlineStr">
        <is>
          <t>STOCKHOLMS LÄN</t>
        </is>
      </c>
      <c r="E198" t="inlineStr">
        <is>
          <t>SIGTUNA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58839-2024</t>
        </is>
      </c>
      <c r="B199" s="1" t="n">
        <v>45636</v>
      </c>
      <c r="C199" s="1" t="n">
        <v>45739</v>
      </c>
      <c r="D199" t="inlineStr">
        <is>
          <t>STOCKHOLMS LÄN</t>
        </is>
      </c>
      <c r="E199" t="inlineStr">
        <is>
          <t>SIGTUNA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60205-2024</t>
        </is>
      </c>
      <c r="B200" s="1" t="n">
        <v>45642</v>
      </c>
      <c r="C200" s="1" t="n">
        <v>45739</v>
      </c>
      <c r="D200" t="inlineStr">
        <is>
          <t>STOCKHOLMS LÄN</t>
        </is>
      </c>
      <c r="E200" t="inlineStr">
        <is>
          <t>SIGTUNA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60423-2024</t>
        </is>
      </c>
      <c r="B201" s="1" t="n">
        <v>45643</v>
      </c>
      <c r="C201" s="1" t="n">
        <v>45739</v>
      </c>
      <c r="D201" t="inlineStr">
        <is>
          <t>STOCKHOLMS LÄN</t>
        </is>
      </c>
      <c r="E201" t="inlineStr">
        <is>
          <t>SIGTUNA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60434-2024</t>
        </is>
      </c>
      <c r="B202" s="1" t="n">
        <v>45643</v>
      </c>
      <c r="C202" s="1" t="n">
        <v>45739</v>
      </c>
      <c r="D202" t="inlineStr">
        <is>
          <t>STOCKHOLMS LÄN</t>
        </is>
      </c>
      <c r="E202" t="inlineStr">
        <is>
          <t>SIGTUNA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60455-2024</t>
        </is>
      </c>
      <c r="B203" s="1" t="n">
        <v>45643</v>
      </c>
      <c r="C203" s="1" t="n">
        <v>45739</v>
      </c>
      <c r="D203" t="inlineStr">
        <is>
          <t>STOCKHOLMS LÄN</t>
        </is>
      </c>
      <c r="E203" t="inlineStr">
        <is>
          <t>SIGTUNA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60865-2024</t>
        </is>
      </c>
      <c r="B204" s="1" t="n">
        <v>45644</v>
      </c>
      <c r="C204" s="1" t="n">
        <v>45739</v>
      </c>
      <c r="D204" t="inlineStr">
        <is>
          <t>STOCKHOLMS LÄN</t>
        </is>
      </c>
      <c r="E204" t="inlineStr">
        <is>
          <t>SIGTUNA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61576-2024</t>
        </is>
      </c>
      <c r="B205" s="1" t="n">
        <v>45646</v>
      </c>
      <c r="C205" s="1" t="n">
        <v>45739</v>
      </c>
      <c r="D205" t="inlineStr">
        <is>
          <t>STOCKHOLMS LÄN</t>
        </is>
      </c>
      <c r="E205" t="inlineStr">
        <is>
          <t>SIGTUNA</t>
        </is>
      </c>
      <c r="G205" t="n">
        <v>8.9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61582-2024</t>
        </is>
      </c>
      <c r="B206" s="1" t="n">
        <v>45646</v>
      </c>
      <c r="C206" s="1" t="n">
        <v>45739</v>
      </c>
      <c r="D206" t="inlineStr">
        <is>
          <t>STOCKHOLMS LÄN</t>
        </is>
      </c>
      <c r="E206" t="inlineStr">
        <is>
          <t>SIGTUNA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61569-2024</t>
        </is>
      </c>
      <c r="B207" s="1" t="n">
        <v>45646</v>
      </c>
      <c r="C207" s="1" t="n">
        <v>45739</v>
      </c>
      <c r="D207" t="inlineStr">
        <is>
          <t>STOCKHOLMS LÄN</t>
        </is>
      </c>
      <c r="E207" t="inlineStr">
        <is>
          <t>SIGTUNA</t>
        </is>
      </c>
      <c r="G207" t="n">
        <v>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61589-2024</t>
        </is>
      </c>
      <c r="B208" s="1" t="n">
        <v>45646</v>
      </c>
      <c r="C208" s="1" t="n">
        <v>45739</v>
      </c>
      <c r="D208" t="inlineStr">
        <is>
          <t>STOCKHOLMS LÄN</t>
        </is>
      </c>
      <c r="E208" t="inlineStr">
        <is>
          <t>SIGTUNA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273-2025</t>
        </is>
      </c>
      <c r="B209" s="1" t="n">
        <v>45653</v>
      </c>
      <c r="C209" s="1" t="n">
        <v>45739</v>
      </c>
      <c r="D209" t="inlineStr">
        <is>
          <t>STOCKHOLMS LÄN</t>
        </is>
      </c>
      <c r="E209" t="inlineStr">
        <is>
          <t>SIGTUNA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323-2025</t>
        </is>
      </c>
      <c r="B210" s="1" t="n">
        <v>45656</v>
      </c>
      <c r="C210" s="1" t="n">
        <v>45739</v>
      </c>
      <c r="D210" t="inlineStr">
        <is>
          <t>STOCKHOLMS LÄN</t>
        </is>
      </c>
      <c r="E210" t="inlineStr">
        <is>
          <t>SIGTUNA</t>
        </is>
      </c>
      <c r="G210" t="n">
        <v>12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1628-2025</t>
        </is>
      </c>
      <c r="B211" s="1" t="n">
        <v>45670</v>
      </c>
      <c r="C211" s="1" t="n">
        <v>45739</v>
      </c>
      <c r="D211" t="inlineStr">
        <is>
          <t>STOCKHOLMS LÄN</t>
        </is>
      </c>
      <c r="E211" t="inlineStr">
        <is>
          <t>SIGTUNA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2898-2025</t>
        </is>
      </c>
      <c r="B212" s="1" t="n">
        <v>45677</v>
      </c>
      <c r="C212" s="1" t="n">
        <v>45739</v>
      </c>
      <c r="D212" t="inlineStr">
        <is>
          <t>STOCKHOLMS LÄN</t>
        </is>
      </c>
      <c r="E212" t="inlineStr">
        <is>
          <t>SIGTUNA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2896-2025</t>
        </is>
      </c>
      <c r="B213" s="1" t="n">
        <v>45677</v>
      </c>
      <c r="C213" s="1" t="n">
        <v>45739</v>
      </c>
      <c r="D213" t="inlineStr">
        <is>
          <t>STOCKHOLMS LÄN</t>
        </is>
      </c>
      <c r="E213" t="inlineStr">
        <is>
          <t>SIGTUNA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3890-2025</t>
        </is>
      </c>
      <c r="B214" s="1" t="n">
        <v>45684</v>
      </c>
      <c r="C214" s="1" t="n">
        <v>45739</v>
      </c>
      <c r="D214" t="inlineStr">
        <is>
          <t>STOCKHOLMS LÄN</t>
        </is>
      </c>
      <c r="E214" t="inlineStr">
        <is>
          <t>SIGTUNA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5883-2025</t>
        </is>
      </c>
      <c r="B215" s="1" t="n">
        <v>45695</v>
      </c>
      <c r="C215" s="1" t="n">
        <v>45739</v>
      </c>
      <c r="D215" t="inlineStr">
        <is>
          <t>STOCKHOLMS LÄN</t>
        </is>
      </c>
      <c r="E215" t="inlineStr">
        <is>
          <t>SIGTUNA</t>
        </is>
      </c>
      <c r="G215" t="n">
        <v>9.699999999999999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5869-2025</t>
        </is>
      </c>
      <c r="B216" s="1" t="n">
        <v>45695</v>
      </c>
      <c r="C216" s="1" t="n">
        <v>45739</v>
      </c>
      <c r="D216" t="inlineStr">
        <is>
          <t>STOCKHOLMS LÄN</t>
        </is>
      </c>
      <c r="E216" t="inlineStr">
        <is>
          <t>SIGTUNA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6826-2025</t>
        </is>
      </c>
      <c r="B217" s="1" t="n">
        <v>45700</v>
      </c>
      <c r="C217" s="1" t="n">
        <v>45739</v>
      </c>
      <c r="D217" t="inlineStr">
        <is>
          <t>STOCKHOLMS LÄN</t>
        </is>
      </c>
      <c r="E217" t="inlineStr">
        <is>
          <t>SIGTUNA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8673-2025</t>
        </is>
      </c>
      <c r="B218" s="1" t="n">
        <v>45712</v>
      </c>
      <c r="C218" s="1" t="n">
        <v>45739</v>
      </c>
      <c r="D218" t="inlineStr">
        <is>
          <t>STOCKHOLMS LÄN</t>
        </is>
      </c>
      <c r="E218" t="inlineStr">
        <is>
          <t>SIGTUNA</t>
        </is>
      </c>
      <c r="F218" t="inlineStr">
        <is>
          <t>Allmännings- och besparingsskogar</t>
        </is>
      </c>
      <c r="G218" t="n">
        <v>9.6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9120-2025</t>
        </is>
      </c>
      <c r="B219" s="1" t="n">
        <v>45713</v>
      </c>
      <c r="C219" s="1" t="n">
        <v>45739</v>
      </c>
      <c r="D219" t="inlineStr">
        <is>
          <t>STOCKHOLMS LÄN</t>
        </is>
      </c>
      <c r="E219" t="inlineStr">
        <is>
          <t>SIGTUNA</t>
        </is>
      </c>
      <c r="F219" t="inlineStr">
        <is>
          <t>Allmännings- och besparingsskogar</t>
        </is>
      </c>
      <c r="G219" t="n">
        <v>9.699999999999999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>
      <c r="A220" t="inlineStr">
        <is>
          <t>A 13552-2025</t>
        </is>
      </c>
      <c r="B220" s="1" t="n">
        <v>45736</v>
      </c>
      <c r="C220" s="1" t="n">
        <v>45739</v>
      </c>
      <c r="D220" t="inlineStr">
        <is>
          <t>STOCKHOLMS LÄN</t>
        </is>
      </c>
      <c r="E220" t="inlineStr">
        <is>
          <t>SIGTUNA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2025-03-23T17:21:01Z</dcterms:created>
  <dcterms:modified xmlns:dcterms="http://purl.org/dc/terms/" xmlns:xsi="http://www.w3.org/2001/XMLSchema-instance" xsi:type="dcterms:W3CDTF">2025-03-23T17:21:02Z</dcterms:modified>
</cp:coreProperties>
</file>
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46241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46241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46241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46241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46241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46241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46241</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46241</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46241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46241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46241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46241</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46241</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46241</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46241</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46241</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46241</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46241</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6893-2026</t>
        </is>
      </c>
      <c r="B20" t="inlineStr">
        <is>
          <t>avverkningsanmälan</t>
        </is>
      </c>
      <c r="C20" t="inlineStr">
        <is>
          <t>Föryngringsavverkning</t>
        </is>
      </c>
      <c r="D20" s="1" t="n">
        <v>46057</v>
      </c>
      <c r="E20" s="1" t="n">
        <v>46241</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t="n">
        <v>0</v>
      </c>
      <c r="V20" s="2" t="inlineStr">
        <is>
          <t>Gullklöver</t>
        </is>
      </c>
      <c r="W20">
        <f>HYPERLINK("https://klasma.github.io/Logging_0191/artfynd/A 6893-2026 artfynd.xlsx", "A 6893-2026")</f>
        <v/>
      </c>
      <c r="X20">
        <f>HYPERLINK("https://klasma.github.io/Logging_0191/kartor/A 6893-2026 karta.png", "A 6893-2026")</f>
        <v/>
      </c>
      <c r="Y20">
        <f>HYPERLINK("https://klasma.github.io/Logging_0191/kartor_geotiff/A 6893-2026 georefererad karta.tif", "A 6893-2026")</f>
        <v/>
      </c>
      <c r="AA20">
        <f>HYPERLINK("https://klasma.github.io/Logging_0191/klagomål/A 6893-2026 FSC-klagomål.docx", "A 6893-2026")</f>
        <v/>
      </c>
      <c r="AB20">
        <f>HYPERLINK("https://klasma.github.io/Logging_0191/klagomålsmail/A 6893-2026 FSC-klagomål mail.docx", "A 6893-2026")</f>
        <v/>
      </c>
      <c r="AC20">
        <f>HYPERLINK("https://klasma.github.io/Logging_0191/tillsyn/A 6893-2026 tillsynsbegäran.docx", "A 6893-2026")</f>
        <v/>
      </c>
      <c r="AD20">
        <f>HYPERLINK("https://klasma.github.io/Logging_0191/tillsynsmail/A 6893-2026 tillsynsbegäran mail.docx", "A 6893-2026")</f>
        <v/>
      </c>
    </row>
    <row r="21" ht="15" customHeight="1">
      <c r="A21" t="inlineStr">
        <is>
          <t>A 15452-2023</t>
        </is>
      </c>
      <c r="B21" t="inlineStr">
        <is>
          <t>avverkningsanmälan</t>
        </is>
      </c>
      <c r="C21" t="inlineStr">
        <is>
          <t>Avverkning för annat ändamål</t>
        </is>
      </c>
      <c r="D21" s="1" t="n">
        <v>45020</v>
      </c>
      <c r="E21" s="1" t="n">
        <v>46241</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46241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46241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46241</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53090-2021</t>
        </is>
      </c>
      <c r="B25" t="inlineStr">
        <is>
          <t>avverkningsanmälan</t>
        </is>
      </c>
      <c r="C25" t="inlineStr">
        <is>
          <t>Föryngringsavverkning</t>
        </is>
      </c>
      <c r="D25" s="1" t="n">
        <v>44467</v>
      </c>
      <c r="E25" s="1" t="n">
        <v>46241</v>
      </c>
      <c r="F25" t="inlineStr">
        <is>
          <t>STOCKHOLMS LÄN</t>
        </is>
      </c>
      <c r="G25" t="inlineStr">
        <is>
          <t>SIGTUNA</t>
        </is>
      </c>
      <c r="I25" t="n">
        <v>0.7</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46241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46241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46241</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46241</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5142-2024</t>
        </is>
      </c>
      <c r="B30" t="inlineStr">
        <is>
          <t>avverkningsanmälan</t>
        </is>
      </c>
      <c r="C30" t="inlineStr">
        <is>
          <t>Avverkning för annat ändamål</t>
        </is>
      </c>
      <c r="D30" s="1" t="n">
        <v>45330</v>
      </c>
      <c r="E30" s="1" t="n">
        <v>46241</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46241</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46241</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46241</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45233-2024</t>
        </is>
      </c>
      <c r="B34" t="inlineStr">
        <is>
          <t>avverkningsanmälan</t>
        </is>
      </c>
      <c r="C34" t="inlineStr">
        <is>
          <t>Föryngringsavverkning</t>
        </is>
      </c>
      <c r="D34" s="1" t="n">
        <v>45575</v>
      </c>
      <c r="E34" s="1" t="n">
        <v>46241</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20375-2023</t>
        </is>
      </c>
      <c r="B35" t="inlineStr">
        <is>
          <t>avverkningsanmälan</t>
        </is>
      </c>
      <c r="C35" t="inlineStr">
        <is>
          <t>Föryngringsavverkning</t>
        </is>
      </c>
      <c r="D35" s="1" t="n">
        <v>45054</v>
      </c>
      <c r="E35" s="1" t="n">
        <v>46241</v>
      </c>
      <c r="F35" t="inlineStr">
        <is>
          <t>STOCKHOLMS LÄN</t>
        </is>
      </c>
      <c r="G35" t="inlineStr">
        <is>
          <t>SIGTUNA</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38276-2023</t>
        </is>
      </c>
      <c r="B36" t="inlineStr">
        <is>
          <t>avverkningsanmälan</t>
        </is>
      </c>
      <c r="C36" t="inlineStr">
        <is>
          <t>Föryngringsavverkning</t>
        </is>
      </c>
      <c r="D36" s="1" t="n">
        <v>45160</v>
      </c>
      <c r="E36" s="1" t="n">
        <v>46241</v>
      </c>
      <c r="F36" t="inlineStr">
        <is>
          <t>STOCKHOLMS LÄN</t>
        </is>
      </c>
      <c r="G36" t="inlineStr">
        <is>
          <t>SIGTUNA</t>
        </is>
      </c>
      <c r="I36" t="n">
        <v>18.1</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46241</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46241</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46241</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46241</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42572-2024</t>
        </is>
      </c>
      <c r="B41" t="inlineStr">
        <is>
          <t>avverkningsanmälan</t>
        </is>
      </c>
      <c r="C41" t="inlineStr">
        <is>
          <t>Föryngringsavverkning</t>
        </is>
      </c>
      <c r="D41" s="1" t="n">
        <v>45565</v>
      </c>
      <c r="E41" s="1" t="n">
        <v>46241</v>
      </c>
      <c r="F41" t="inlineStr">
        <is>
          <t>STOCKHOLMS LÄN</t>
        </is>
      </c>
      <c r="G41" t="inlineStr">
        <is>
          <t>SIGTUNA</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56796-2022</t>
        </is>
      </c>
      <c r="B42" t="inlineStr">
        <is>
          <t>avverkningsanmälan</t>
        </is>
      </c>
      <c r="C42" t="inlineStr">
        <is>
          <t>Föryngringsavverkning</t>
        </is>
      </c>
      <c r="D42" s="1" t="n">
        <v>44894</v>
      </c>
      <c r="E42" s="1" t="n">
        <v>46241</v>
      </c>
      <c r="F42" t="inlineStr">
        <is>
          <t>STOCKHOLMS LÄN</t>
        </is>
      </c>
      <c r="G42" t="inlineStr">
        <is>
          <t>SIGTUNA</t>
        </is>
      </c>
      <c r="I42" t="n">
        <v>5.2</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46241</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10790-2023</t>
        </is>
      </c>
      <c r="B44" t="inlineStr">
        <is>
          <t>avverkningsanmälan</t>
        </is>
      </c>
      <c r="C44" t="inlineStr">
        <is>
          <t>Föryngringsavverkning</t>
        </is>
      </c>
      <c r="D44" s="1" t="n">
        <v>44989</v>
      </c>
      <c r="E44" s="1" t="n">
        <v>46241</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25452-2023</t>
        </is>
      </c>
      <c r="B45" t="inlineStr">
        <is>
          <t>avverkningsanmälan</t>
        </is>
      </c>
      <c r="C45" t="inlineStr">
        <is>
          <t>Föryngringsavverkning</t>
        </is>
      </c>
      <c r="D45" s="1" t="n">
        <v>45089</v>
      </c>
      <c r="E45" s="1" t="n">
        <v>46241</v>
      </c>
      <c r="F45" t="inlineStr">
        <is>
          <t>STOCKHOLMS LÄN</t>
        </is>
      </c>
      <c r="G45" t="inlineStr">
        <is>
          <t>SIGTUNA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25459-2023</t>
        </is>
      </c>
      <c r="B46" t="inlineStr">
        <is>
          <t>avverkningsanmälan</t>
        </is>
      </c>
      <c r="C46" t="inlineStr">
        <is>
          <t>Föryngringsavverkning</t>
        </is>
      </c>
      <c r="D46" s="1" t="n">
        <v>45089</v>
      </c>
      <c r="E46" s="1" t="n">
        <v>46241</v>
      </c>
      <c r="F46" t="inlineStr">
        <is>
          <t>STOCKHOLMS LÄN</t>
        </is>
      </c>
      <c r="G46" t="inlineStr">
        <is>
          <t>SIGTUNA</t>
        </is>
      </c>
      <c r="H46" t="inlineStr">
        <is>
          <t>Sveaskog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61937-2021</t>
        </is>
      </c>
      <c r="B47" t="inlineStr">
        <is>
          <t>avverkningsanmälan</t>
        </is>
      </c>
      <c r="C47" t="inlineStr">
        <is>
          <t>Avverkning för annat ändamål</t>
        </is>
      </c>
      <c r="D47" s="1" t="n">
        <v>44502</v>
      </c>
      <c r="E47" s="1" t="n">
        <v>46241</v>
      </c>
      <c r="F47" t="inlineStr">
        <is>
          <t>STOCKHOLMS LÄN</t>
        </is>
      </c>
      <c r="G47" t="inlineStr">
        <is>
          <t>SIGTUNA</t>
        </is>
      </c>
      <c r="I47" t="n">
        <v>14.7</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46241</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60935-2023</t>
        </is>
      </c>
      <c r="B49" t="inlineStr">
        <is>
          <t>avverkningsanmälan</t>
        </is>
      </c>
      <c r="C49" t="inlineStr">
        <is>
          <t>Föryngringsavverkning</t>
        </is>
      </c>
      <c r="D49" s="1" t="n">
        <v>45261</v>
      </c>
      <c r="E49" s="1" t="n">
        <v>46241</v>
      </c>
      <c r="F49" t="inlineStr">
        <is>
          <t>STOCKHOLMS LÄN</t>
        </is>
      </c>
      <c r="G49" t="inlineStr">
        <is>
          <t>SIGTUNA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20957-2023</t>
        </is>
      </c>
      <c r="B50" t="inlineStr">
        <is>
          <t>avverkningsanmälan</t>
        </is>
      </c>
      <c r="C50" t="inlineStr">
        <is>
          <t>Föryngringsavverkning</t>
        </is>
      </c>
      <c r="D50" s="1" t="n">
        <v>45061</v>
      </c>
      <c r="E50" s="1" t="n">
        <v>46241</v>
      </c>
      <c r="F50" t="inlineStr">
        <is>
          <t>STOCKHOLMS LÄN</t>
        </is>
      </c>
      <c r="G50" t="inlineStr">
        <is>
          <t>SIGTUNA</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43700-2023</t>
        </is>
      </c>
      <c r="B51" t="inlineStr">
        <is>
          <t>avverkningsanmälan</t>
        </is>
      </c>
      <c r="C51" t="inlineStr">
        <is>
          <t>Föryngringsavverkning</t>
        </is>
      </c>
      <c r="D51" s="1" t="n">
        <v>45187</v>
      </c>
      <c r="E51" s="1" t="n">
        <v>46241</v>
      </c>
      <c r="F51" t="inlineStr">
        <is>
          <t>STOCKHOLMS LÄN</t>
        </is>
      </c>
      <c r="G51" t="inlineStr">
        <is>
          <t>SIGTUNA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72530-2021</t>
        </is>
      </c>
      <c r="B52" t="inlineStr">
        <is>
          <t>avverkningsanmälan</t>
        </is>
      </c>
      <c r="C52" t="inlineStr">
        <is>
          <t>Avverkning för annat ändamål</t>
        </is>
      </c>
      <c r="D52" s="1" t="n">
        <v>44546</v>
      </c>
      <c r="E52" s="1" t="n">
        <v>46241</v>
      </c>
      <c r="F52" t="inlineStr">
        <is>
          <t>STOCKHOLMS LÄN</t>
        </is>
      </c>
      <c r="G52" t="inlineStr">
        <is>
          <t>SIGTUNA</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9856-2024</t>
        </is>
      </c>
      <c r="B53" t="inlineStr">
        <is>
          <t>avverkningsanmälan</t>
        </is>
      </c>
      <c r="C53" t="inlineStr">
        <is>
          <t>Avverkning för annat ändamål</t>
        </is>
      </c>
      <c r="D53" s="1" t="n">
        <v>45363</v>
      </c>
      <c r="E53" s="1" t="n">
        <v>46241</v>
      </c>
      <c r="F53" t="inlineStr">
        <is>
          <t>STOCKHOLMS LÄN</t>
        </is>
      </c>
      <c r="G53" t="inlineStr">
        <is>
          <t>SIGTUNA</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74170-2021</t>
        </is>
      </c>
      <c r="B54" t="inlineStr">
        <is>
          <t>avverkningsanmälan</t>
        </is>
      </c>
      <c r="C54" t="inlineStr">
        <is>
          <t>Föryngringsavverkning</t>
        </is>
      </c>
      <c r="D54" s="1" t="n">
        <v>44557</v>
      </c>
      <c r="E54" s="1" t="n">
        <v>46241</v>
      </c>
      <c r="F54" t="inlineStr">
        <is>
          <t>STOCKHOLMS LÄN</t>
        </is>
      </c>
      <c r="G54" t="inlineStr">
        <is>
          <t>SIGTUNA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17320-2023</t>
        </is>
      </c>
      <c r="B55" t="inlineStr">
        <is>
          <t>avverkningsanmälan</t>
        </is>
      </c>
      <c r="C55" t="inlineStr">
        <is>
          <t>Föryngringsavverkning</t>
        </is>
      </c>
      <c r="D55" s="1" t="n">
        <v>45035</v>
      </c>
      <c r="E55" s="1" t="n">
        <v>46241</v>
      </c>
      <c r="F55" t="inlineStr">
        <is>
          <t>STOCKHOLMS LÄN</t>
        </is>
      </c>
      <c r="G55" t="inlineStr">
        <is>
          <t>SIGTUNA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7214-2022</t>
        </is>
      </c>
      <c r="B56" t="inlineStr">
        <is>
          <t>avverkningsanmälan</t>
        </is>
      </c>
      <c r="C56" t="inlineStr">
        <is>
          <t>Föryngringsavverkning</t>
        </is>
      </c>
      <c r="D56" s="1" t="n">
        <v>44606</v>
      </c>
      <c r="E56" s="1" t="n">
        <v>46241</v>
      </c>
      <c r="F56" t="inlineStr">
        <is>
          <t>STOCKHOLMS LÄN</t>
        </is>
      </c>
      <c r="G56" t="inlineStr">
        <is>
          <t>SIGTUNA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45319-2023</t>
        </is>
      </c>
      <c r="B57" t="inlineStr">
        <is>
          <t>avverkningsanmälan</t>
        </is>
      </c>
      <c r="C57" t="inlineStr">
        <is>
          <t>Föryngringsavverkning</t>
        </is>
      </c>
      <c r="D57" s="1" t="n">
        <v>45191</v>
      </c>
      <c r="E57" s="1" t="n">
        <v>46241</v>
      </c>
      <c r="F57" t="inlineStr">
        <is>
          <t>STOCKHOLMS LÄN</t>
        </is>
      </c>
      <c r="G57" t="inlineStr">
        <is>
          <t>SIGTUNA</t>
        </is>
      </c>
      <c r="H57" t="inlineStr">
        <is>
          <t>Allmännings- och besparingsskogar</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60969-2025</t>
        </is>
      </c>
      <c r="B58" t="inlineStr">
        <is>
          <t>avverkningsanmälan</t>
        </is>
      </c>
      <c r="C58" t="inlineStr">
        <is>
          <t>Föryngringsavverkning</t>
        </is>
      </c>
      <c r="D58" s="1" t="n">
        <v>45996</v>
      </c>
      <c r="E58" s="1" t="n">
        <v>46241</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46241</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60949-2025</t>
        </is>
      </c>
      <c r="B60" t="inlineStr">
        <is>
          <t>avverkningsanmälan</t>
        </is>
      </c>
      <c r="C60" t="inlineStr">
        <is>
          <t>Föryngringsavverkning</t>
        </is>
      </c>
      <c r="D60" s="1" t="n">
        <v>45996</v>
      </c>
      <c r="E60" s="1" t="n">
        <v>46241</v>
      </c>
      <c r="F60" t="inlineStr">
        <is>
          <t>STOCKHOLMS LÄN</t>
        </is>
      </c>
      <c r="G60" t="inlineStr">
        <is>
          <t>SIGTUNA</t>
        </is>
      </c>
      <c r="I60" t="n">
        <v>21.9</v>
      </c>
      <c r="J60" t="n">
        <v>0</v>
      </c>
      <c r="K60" t="n">
        <v>0</v>
      </c>
      <c r="L60" t="n">
        <v>0</v>
      </c>
      <c r="M60" t="n">
        <v>0</v>
      </c>
      <c r="N60" t="n">
        <v>0</v>
      </c>
      <c r="O60" t="n">
        <v>0</v>
      </c>
      <c r="P60" t="n">
        <v>0</v>
      </c>
      <c r="Q60" t="n">
        <v>0</v>
      </c>
      <c r="R60" t="n">
        <v>0</v>
      </c>
      <c r="S60" t="n">
        <v>0</v>
      </c>
      <c r="T60" t="n">
        <v>0</v>
      </c>
      <c r="U60" t="n">
        <v>0</v>
      </c>
      <c r="V60" s="2" t="inlineStr"/>
    </row>
    <row r="61" ht="15" customHeight="1">
      <c r="A61" t="inlineStr">
        <is>
          <t>A 17286-2022</t>
        </is>
      </c>
      <c r="B61" t="inlineStr">
        <is>
          <t>avverkningsanmälan</t>
        </is>
      </c>
      <c r="C61" t="inlineStr">
        <is>
          <t>Avverkning för annat ändamål</t>
        </is>
      </c>
      <c r="D61" s="1" t="n">
        <v>44678</v>
      </c>
      <c r="E61" s="1" t="n">
        <v>46241</v>
      </c>
      <c r="F61" t="inlineStr">
        <is>
          <t>STOCKHOLMS LÄN</t>
        </is>
      </c>
      <c r="G61" t="inlineStr">
        <is>
          <t>SIGTUNA</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28752-2024</t>
        </is>
      </c>
      <c r="B62" t="inlineStr">
        <is>
          <t>avverkningsanmälan</t>
        </is>
      </c>
      <c r="C62" t="inlineStr">
        <is>
          <t>Föryngringsavverkning</t>
        </is>
      </c>
      <c r="D62" s="1" t="n">
        <v>45478</v>
      </c>
      <c r="E62" s="1" t="n">
        <v>46241</v>
      </c>
      <c r="F62" t="inlineStr">
        <is>
          <t>STOCKHOLMS LÄN</t>
        </is>
      </c>
      <c r="G62" t="inlineStr">
        <is>
          <t>SIGTUNA</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3673-2026</t>
        </is>
      </c>
      <c r="B63" t="inlineStr">
        <is>
          <t>avverkningsanmälan</t>
        </is>
      </c>
      <c r="C63" t="inlineStr">
        <is>
          <t>Föryngringsavverkning</t>
        </is>
      </c>
      <c r="D63" s="1" t="n">
        <v>46043</v>
      </c>
      <c r="E63" s="1" t="n">
        <v>46241</v>
      </c>
      <c r="F63" t="inlineStr">
        <is>
          <t>STOCKHOLMS LÄN</t>
        </is>
      </c>
      <c r="G63" t="inlineStr">
        <is>
          <t>SIGTUNA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4788-2026</t>
        </is>
      </c>
      <c r="B64" t="inlineStr">
        <is>
          <t>avverkningsanmälan</t>
        </is>
      </c>
      <c r="C64" t="inlineStr">
        <is>
          <t>Föryngringsavverkning</t>
        </is>
      </c>
      <c r="D64" s="1" t="n">
        <v>46048</v>
      </c>
      <c r="E64" s="1" t="n">
        <v>46241</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862-2022</t>
        </is>
      </c>
      <c r="B65" t="inlineStr">
        <is>
          <t>avverkningsanmälan</t>
        </is>
      </c>
      <c r="C65" t="inlineStr">
        <is>
          <t>Avverkning för annat ändamål</t>
        </is>
      </c>
      <c r="D65" s="1" t="n">
        <v>44571</v>
      </c>
      <c r="E65" s="1" t="n">
        <v>46241</v>
      </c>
      <c r="F65" t="inlineStr">
        <is>
          <t>STOCKHOLMS LÄN</t>
        </is>
      </c>
      <c r="G65" t="inlineStr">
        <is>
          <t>SIGTUNA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7229-2026</t>
        </is>
      </c>
      <c r="B66" t="inlineStr">
        <is>
          <t>avverkningsanmälan</t>
        </is>
      </c>
      <c r="C66" t="inlineStr">
        <is>
          <t>Föryngringsavverkning</t>
        </is>
      </c>
      <c r="D66" s="1" t="n">
        <v>46058</v>
      </c>
      <c r="E66" s="1" t="n">
        <v>46241</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7833-2026</t>
        </is>
      </c>
      <c r="B67" t="inlineStr">
        <is>
          <t>avverkningsanmälan</t>
        </is>
      </c>
      <c r="C67" t="inlineStr">
        <is>
          <t>Föryngringsavverkning</t>
        </is>
      </c>
      <c r="D67" s="1" t="n">
        <v>46062</v>
      </c>
      <c r="E67" s="1" t="n">
        <v>46241</v>
      </c>
      <c r="F67" t="inlineStr">
        <is>
          <t>STOCKHOLMS LÄN</t>
        </is>
      </c>
      <c r="G67" t="inlineStr">
        <is>
          <t>SIGTUNA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24636-2023</t>
        </is>
      </c>
      <c r="B68" t="inlineStr">
        <is>
          <t>avverkningsanmälan</t>
        </is>
      </c>
      <c r="C68" t="inlineStr">
        <is>
          <t>Föryngringsavverkning</t>
        </is>
      </c>
      <c r="D68" s="1" t="n">
        <v>45084</v>
      </c>
      <c r="E68" s="1" t="n">
        <v>46241</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46241</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32424-2023</t>
        </is>
      </c>
      <c r="B70" t="inlineStr">
        <is>
          <t>avverkningsanmälan</t>
        </is>
      </c>
      <c r="C70" t="inlineStr">
        <is>
          <t>Föryngringsavverkning</t>
        </is>
      </c>
      <c r="D70" s="1" t="n">
        <v>45110</v>
      </c>
      <c r="E70" s="1" t="n">
        <v>46241</v>
      </c>
      <c r="F70" t="inlineStr">
        <is>
          <t>STOCKHOLMS LÄN</t>
        </is>
      </c>
      <c r="G70" t="inlineStr">
        <is>
          <t>SIGTUNA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31695-2022</t>
        </is>
      </c>
      <c r="B71" t="inlineStr">
        <is>
          <t>avverkningsanmälan</t>
        </is>
      </c>
      <c r="C71" t="inlineStr">
        <is>
          <t>Avverkning för att bevara och utveckla /försöksver</t>
        </is>
      </c>
      <c r="D71" s="1" t="n">
        <v>44776</v>
      </c>
      <c r="E71" s="1" t="n">
        <v>46241</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12052-2026</t>
        </is>
      </c>
      <c r="B72" t="inlineStr">
        <is>
          <t>avverkningsanmälan</t>
        </is>
      </c>
      <c r="C72" t="inlineStr">
        <is>
          <t>Föryngringsavverkning</t>
        </is>
      </c>
      <c r="D72" s="1" t="n">
        <v>46086</v>
      </c>
      <c r="E72" s="1" t="n">
        <v>46241</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13662-2026</t>
        </is>
      </c>
      <c r="B73" t="inlineStr">
        <is>
          <t>avverkningsanmälan</t>
        </is>
      </c>
      <c r="C73" t="inlineStr">
        <is>
          <t>Föryngringsavverkning</t>
        </is>
      </c>
      <c r="D73" s="1" t="n">
        <v>46097</v>
      </c>
      <c r="E73" s="1" t="n">
        <v>46241</v>
      </c>
      <c r="F73" t="inlineStr">
        <is>
          <t>STOCKHOLMS LÄN</t>
        </is>
      </c>
      <c r="G73" t="inlineStr">
        <is>
          <t>SIGTUNA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32426-2023</t>
        </is>
      </c>
      <c r="B74" t="inlineStr">
        <is>
          <t>avverkningsanmälan</t>
        </is>
      </c>
      <c r="C74" t="inlineStr">
        <is>
          <t>Föryngringsavverkning</t>
        </is>
      </c>
      <c r="D74" s="1" t="n">
        <v>45110</v>
      </c>
      <c r="E74" s="1" t="n">
        <v>46241</v>
      </c>
      <c r="F74" t="inlineStr">
        <is>
          <t>STOCKHOLMS LÄN</t>
        </is>
      </c>
      <c r="G74" t="inlineStr">
        <is>
          <t>SIGTUNA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59957-2023</t>
        </is>
      </c>
      <c r="B75" t="inlineStr">
        <is>
          <t>avverkningsanmälan</t>
        </is>
      </c>
      <c r="C75" t="inlineStr">
        <is>
          <t>Föryngringsavverkning</t>
        </is>
      </c>
      <c r="D75" s="1" t="n">
        <v>45257</v>
      </c>
      <c r="E75" s="1" t="n">
        <v>46241</v>
      </c>
      <c r="F75" t="inlineStr">
        <is>
          <t>STOCKHOLMS LÄN</t>
        </is>
      </c>
      <c r="G75" t="inlineStr">
        <is>
          <t>SIGTUNA</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2496-2024</t>
        </is>
      </c>
      <c r="B76" t="inlineStr">
        <is>
          <t>avverkningsanmälan</t>
        </is>
      </c>
      <c r="C76" t="inlineStr">
        <is>
          <t>Föryngringsavverkning</t>
        </is>
      </c>
      <c r="D76" s="1" t="n">
        <v>45313</v>
      </c>
      <c r="E76" s="1" t="n">
        <v>46241</v>
      </c>
      <c r="F76" t="inlineStr">
        <is>
          <t>STOCKHOLMS LÄN</t>
        </is>
      </c>
      <c r="G76" t="inlineStr">
        <is>
          <t>SIGTUNA</t>
        </is>
      </c>
      <c r="H76" t="inlineStr">
        <is>
          <t>Kommuner</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35966-2024</t>
        </is>
      </c>
      <c r="B77" t="inlineStr">
        <is>
          <t>avverkningsanmälan</t>
        </is>
      </c>
      <c r="C77" t="inlineStr">
        <is>
          <t>Föryngringsavverkning</t>
        </is>
      </c>
      <c r="D77" s="1" t="n">
        <v>45533</v>
      </c>
      <c r="E77" s="1" t="n">
        <v>46241</v>
      </c>
      <c r="F77" t="inlineStr">
        <is>
          <t>STOCKHOLMS LÄN</t>
        </is>
      </c>
      <c r="G77" t="inlineStr">
        <is>
          <t>SIGTUNA</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36179-2022</t>
        </is>
      </c>
      <c r="B78" t="inlineStr">
        <is>
          <t>avverkningsanmälan</t>
        </is>
      </c>
      <c r="C78" t="inlineStr">
        <is>
          <t>Föryngringsavverkning</t>
        </is>
      </c>
      <c r="D78" s="1" t="n">
        <v>44803</v>
      </c>
      <c r="E78" s="1" t="n">
        <v>46241</v>
      </c>
      <c r="F78" t="inlineStr">
        <is>
          <t>STOCKHOLMS LÄN</t>
        </is>
      </c>
      <c r="G78" t="inlineStr">
        <is>
          <t>SIGTUNA</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46241</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6826-2025</t>
        </is>
      </c>
      <c r="B80" t="inlineStr">
        <is>
          <t>avverkningsanmälan</t>
        </is>
      </c>
      <c r="C80" t="inlineStr">
        <is>
          <t>Avverkning för annat ändamål</t>
        </is>
      </c>
      <c r="D80" s="1" t="n">
        <v>45700</v>
      </c>
      <c r="E80" s="1" t="n">
        <v>46241</v>
      </c>
      <c r="F80" t="inlineStr">
        <is>
          <t>STOCKHOLMS LÄN</t>
        </is>
      </c>
      <c r="G80" t="inlineStr">
        <is>
          <t>SIGTUNA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11285-2023</t>
        </is>
      </c>
      <c r="B81" t="inlineStr">
        <is>
          <t>avverkningsanmälan</t>
        </is>
      </c>
      <c r="C81" t="inlineStr">
        <is>
          <t>Föryngringsavverkning</t>
        </is>
      </c>
      <c r="D81" s="1" t="n">
        <v>44992</v>
      </c>
      <c r="E81" s="1" t="n">
        <v>46241</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46241</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12931-2022</t>
        </is>
      </c>
      <c r="B83" t="inlineStr">
        <is>
          <t>avverkningsanmälan</t>
        </is>
      </c>
      <c r="C83" t="inlineStr">
        <is>
          <t>Föryngringsavverkning</t>
        </is>
      </c>
      <c r="D83" s="1" t="n">
        <v>44642</v>
      </c>
      <c r="E83" s="1" t="n">
        <v>46241</v>
      </c>
      <c r="F83" t="inlineStr">
        <is>
          <t>STOCKHOLMS LÄN</t>
        </is>
      </c>
      <c r="G83" t="inlineStr">
        <is>
          <t>SIGTUNA</t>
        </is>
      </c>
      <c r="H83" t="inlineStr">
        <is>
          <t>Kyrkan</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41693-2022</t>
        </is>
      </c>
      <c r="B84" t="inlineStr">
        <is>
          <t>avverkningsanmälan</t>
        </is>
      </c>
      <c r="C84" t="inlineStr">
        <is>
          <t>Föryngringsavverkning</t>
        </is>
      </c>
      <c r="D84" s="1" t="n">
        <v>44827</v>
      </c>
      <c r="E84" s="1" t="n">
        <v>46241</v>
      </c>
      <c r="F84" t="inlineStr">
        <is>
          <t>STOCKHOLMS LÄN</t>
        </is>
      </c>
      <c r="G84" t="inlineStr">
        <is>
          <t>SIGTUNA</t>
        </is>
      </c>
      <c r="H84" t="inlineStr">
        <is>
          <t>Allmännings- och besparingsskogar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37392-2024</t>
        </is>
      </c>
      <c r="B85" t="inlineStr">
        <is>
          <t>avverkningsanmälan</t>
        </is>
      </c>
      <c r="C85" t="inlineStr">
        <is>
          <t>Föryngringsavverkning</t>
        </is>
      </c>
      <c r="D85" s="1" t="n">
        <v>45540</v>
      </c>
      <c r="E85" s="1" t="n">
        <v>46241</v>
      </c>
      <c r="F85" t="inlineStr">
        <is>
          <t>STOCKHOLMS LÄN</t>
        </is>
      </c>
      <c r="G85" t="inlineStr">
        <is>
          <t>SIGTUNA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46241</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31684-2022</t>
        </is>
      </c>
      <c r="B87" t="inlineStr">
        <is>
          <t>avverkningsanmälan</t>
        </is>
      </c>
      <c r="C87" t="inlineStr">
        <is>
          <t>Avverkning för att bevara och utveckla /försöksver</t>
        </is>
      </c>
      <c r="D87" s="1" t="n">
        <v>44776</v>
      </c>
      <c r="E87" s="1" t="n">
        <v>46241</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46241</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9120-2025</t>
        </is>
      </c>
      <c r="B89" t="inlineStr">
        <is>
          <t>avverkningsanmälan</t>
        </is>
      </c>
      <c r="C89" t="inlineStr">
        <is>
          <t>Föryngringsavverkning</t>
        </is>
      </c>
      <c r="D89" s="1" t="n">
        <v>45713</v>
      </c>
      <c r="E89" s="1" t="n">
        <v>46241</v>
      </c>
      <c r="F89" t="inlineStr">
        <is>
          <t>STOCKHOLMS LÄN</t>
        </is>
      </c>
      <c r="G89" t="inlineStr">
        <is>
          <t>SIGTUNA</t>
        </is>
      </c>
      <c r="H89" t="inlineStr">
        <is>
          <t>Allmännings- och besparingsskogar</t>
        </is>
      </c>
      <c r="I89" t="n">
        <v>9.699999999999999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24967-2024</t>
        </is>
      </c>
      <c r="B90" t="inlineStr">
        <is>
          <t>avverkningsanmälan</t>
        </is>
      </c>
      <c r="C90" t="inlineStr">
        <is>
          <t>Föryngringsavverkning</t>
        </is>
      </c>
      <c r="D90" s="1" t="n">
        <v>45461</v>
      </c>
      <c r="E90" s="1" t="n">
        <v>46241</v>
      </c>
      <c r="F90" t="inlineStr">
        <is>
          <t>STOCKHOLMS LÄN</t>
        </is>
      </c>
      <c r="G90" t="inlineStr">
        <is>
          <t>SIGTUNA</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46241</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46241</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3890-2025</t>
        </is>
      </c>
      <c r="B93" t="inlineStr">
        <is>
          <t>avverkningsanmälan</t>
        </is>
      </c>
      <c r="C93" t="inlineStr">
        <is>
          <t>Föryngringsavverkning</t>
        </is>
      </c>
      <c r="D93" s="1" t="n">
        <v>45684</v>
      </c>
      <c r="E93" s="1" t="n">
        <v>46241</v>
      </c>
      <c r="F93" t="inlineStr">
        <is>
          <t>STOCKHOLMS LÄN</t>
        </is>
      </c>
      <c r="G93" t="inlineStr">
        <is>
          <t>SIGTUNA</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46241</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48375-2024</t>
        </is>
      </c>
      <c r="B95" t="inlineStr">
        <is>
          <t>avverkningsanmälan</t>
        </is>
      </c>
      <c r="C95" t="inlineStr">
        <is>
          <t>Föryngringsavverkning</t>
        </is>
      </c>
      <c r="D95" s="1" t="n">
        <v>45590</v>
      </c>
      <c r="E95" s="1" t="n">
        <v>46241</v>
      </c>
      <c r="F95" t="inlineStr">
        <is>
          <t>STOCKHOLMS LÄN</t>
        </is>
      </c>
      <c r="G95" t="inlineStr">
        <is>
          <t>SIGTUNA</t>
        </is>
      </c>
      <c r="H95" t="inlineStr">
        <is>
          <t>Allmännings- och besparingsskogar</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46241</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35961-2024</t>
        </is>
      </c>
      <c r="B97" t="inlineStr">
        <is>
          <t>avverkningsanmälan</t>
        </is>
      </c>
      <c r="C97" t="inlineStr">
        <is>
          <t>Föryngringsavverkning</t>
        </is>
      </c>
      <c r="D97" s="1" t="n">
        <v>45533</v>
      </c>
      <c r="E97" s="1" t="n">
        <v>46241</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19031-2024</t>
        </is>
      </c>
      <c r="B98" t="inlineStr">
        <is>
          <t>avverkningsanmälan</t>
        </is>
      </c>
      <c r="C98" t="inlineStr">
        <is>
          <t>Avverkning för annat ändamål</t>
        </is>
      </c>
      <c r="D98" s="1" t="n">
        <v>45427</v>
      </c>
      <c r="E98" s="1" t="n">
        <v>46241</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46241</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46241</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46241</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2026-08-07T01:55:28Z</dcterms:created>
  <dcterms:modified xmlns:dcterms="http://purl.org/dc/terms/" xmlns:xsi="http://www.w3.org/2001/XMLSchema-instance" xsi:type="dcterms:W3CDTF">2026-08-07T01:55:28Z</dcterms:modified>
</cp:coreProperties>
</file>
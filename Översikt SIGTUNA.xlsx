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45567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45567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45567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45567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45567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27425-2023</t>
        </is>
      </c>
      <c r="B7" s="1" t="n">
        <v>45097</v>
      </c>
      <c r="C7" s="1" t="n">
        <v>45567</v>
      </c>
      <c r="D7" t="inlineStr">
        <is>
          <t>STOCKHOLMS LÄN</t>
        </is>
      </c>
      <c r="E7" t="inlineStr">
        <is>
          <t>SIGTUNA</t>
        </is>
      </c>
      <c r="F7" t="inlineStr">
        <is>
          <t>Allmännings- och besparingsskogar</t>
        </is>
      </c>
      <c r="G7" t="n">
        <v>9.300000000000001</v>
      </c>
      <c r="H7" t="n">
        <v>7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Gulsparv
Talltita
Grönsiska
Järnsparv
Kungsfågel
Skogsduva
Blåsippa</t>
        </is>
      </c>
      <c r="S7">
        <f>HYPERLINK("https://klasma.github.io/Logging_0191/artfynd/A 27425-2023 artfynd.xlsx", "A 27425-2023")</f>
        <v/>
      </c>
      <c r="T7">
        <f>HYPERLINK("https://klasma.github.io/Logging_0191/kartor/A 27425-2023 karta.png", "A 27425-2023")</f>
        <v/>
      </c>
      <c r="V7">
        <f>HYPERLINK("https://klasma.github.io/Logging_0191/klagomål/A 27425-2023 FSC-klagomål.docx", "A 27425-2023")</f>
        <v/>
      </c>
      <c r="W7">
        <f>HYPERLINK("https://klasma.github.io/Logging_0191/klagomålsmail/A 27425-2023 FSC-klagomål mail.docx", "A 27425-2023")</f>
        <v/>
      </c>
      <c r="X7">
        <f>HYPERLINK("https://klasma.github.io/Logging_0191/tillsyn/A 27425-2023 tillsynsbegäran.docx", "A 27425-2023")</f>
        <v/>
      </c>
      <c r="Y7">
        <f>HYPERLINK("https://klasma.github.io/Logging_0191/tillsynsmail/A 27425-2023 tillsynsbegäran mail.docx", "A 27425-2023")</f>
        <v/>
      </c>
      <c r="Z7">
        <f>HYPERLINK("https://klasma.github.io/Logging_0191/fåglar/A 27425-2023 prioriterade fågelarter.docx", "A 27425-2023")</f>
        <v/>
      </c>
    </row>
    <row r="8" ht="15" customHeight="1">
      <c r="A8" t="inlineStr">
        <is>
          <t>A 39613-2023</t>
        </is>
      </c>
      <c r="B8" s="1" t="n">
        <v>45163</v>
      </c>
      <c r="C8" s="1" t="n">
        <v>45567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5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Talltita
Kornig nållav
Grönsiska
Kungsfågel
Vanlig padda
Revlummer</t>
        </is>
      </c>
      <c r="S8">
        <f>HYPERLINK("https://klasma.github.io/Logging_0191/artfynd/A 39613-2023 artfynd.xlsx", "A 39613-2023")</f>
        <v/>
      </c>
      <c r="T8">
        <f>HYPERLINK("https://klasma.github.io/Logging_0191/kartor/A 39613-2023 karta.png", "A 39613-2023")</f>
        <v/>
      </c>
      <c r="V8">
        <f>HYPERLINK("https://klasma.github.io/Logging_0191/klagomål/A 39613-2023 FSC-klagomål.docx", "A 39613-2023")</f>
        <v/>
      </c>
      <c r="W8">
        <f>HYPERLINK("https://klasma.github.io/Logging_0191/klagomålsmail/A 39613-2023 FSC-klagomål mail.docx", "A 39613-2023")</f>
        <v/>
      </c>
      <c r="X8">
        <f>HYPERLINK("https://klasma.github.io/Logging_0191/tillsyn/A 39613-2023 tillsynsbegäran.docx", "A 39613-2023")</f>
        <v/>
      </c>
      <c r="Y8">
        <f>HYPERLINK("https://klasma.github.io/Logging_0191/tillsynsmail/A 39613-2023 tillsynsbegäran mail.docx", "A 39613-2023")</f>
        <v/>
      </c>
      <c r="Z8">
        <f>HYPERLINK("https://klasma.github.io/Logging_0191/fåglar/A 39613-2023 prioriterade fågelarter.docx", "A 39613-2023")</f>
        <v/>
      </c>
    </row>
    <row r="9" ht="15" customHeight="1">
      <c r="A9" t="inlineStr">
        <is>
          <t>A 39620-2023</t>
        </is>
      </c>
      <c r="B9" s="1" t="n">
        <v>45163</v>
      </c>
      <c r="C9" s="1" t="n">
        <v>45567</v>
      </c>
      <c r="D9" t="inlineStr">
        <is>
          <t>STOCKHOLMS LÄN</t>
        </is>
      </c>
      <c r="E9" t="inlineStr">
        <is>
          <t>SIGTUNA</t>
        </is>
      </c>
      <c r="G9" t="n">
        <v>2</v>
      </c>
      <c r="H9" t="n">
        <v>6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Grönfink
Duvhök
Talltita
Gröngöling
Grönsiska
Kungsfågel</t>
        </is>
      </c>
      <c r="S9">
        <f>HYPERLINK("https://klasma.github.io/Logging_0191/artfynd/A 39620-2023 artfynd.xlsx", "A 39620-2023")</f>
        <v/>
      </c>
      <c r="T9">
        <f>HYPERLINK("https://klasma.github.io/Logging_0191/kartor/A 39620-2023 karta.png", "A 39620-2023")</f>
        <v/>
      </c>
      <c r="V9">
        <f>HYPERLINK("https://klasma.github.io/Logging_0191/klagomål/A 39620-2023 FSC-klagomål.docx", "A 39620-2023")</f>
        <v/>
      </c>
      <c r="W9">
        <f>HYPERLINK("https://klasma.github.io/Logging_0191/klagomålsmail/A 39620-2023 FSC-klagomål mail.docx", "A 39620-2023")</f>
        <v/>
      </c>
      <c r="X9">
        <f>HYPERLINK("https://klasma.github.io/Logging_0191/tillsyn/A 39620-2023 tillsynsbegäran.docx", "A 39620-2023")</f>
        <v/>
      </c>
      <c r="Y9">
        <f>HYPERLINK("https://klasma.github.io/Logging_0191/tillsynsmail/A 39620-2023 tillsynsbegäran mail.docx", "A 39620-2023")</f>
        <v/>
      </c>
      <c r="Z9">
        <f>HYPERLINK("https://klasma.github.io/Logging_0191/fåglar/A 39620-2023 prioriterade fågelarter.docx", "A 39620-2023")</f>
        <v/>
      </c>
    </row>
    <row r="10" ht="15" customHeight="1">
      <c r="A10" t="inlineStr">
        <is>
          <t>A 61919-2021</t>
        </is>
      </c>
      <c r="B10" s="1" t="n">
        <v>44502</v>
      </c>
      <c r="C10" s="1" t="n">
        <v>45567</v>
      </c>
      <c r="D10" t="inlineStr">
        <is>
          <t>STOCKHOLMS LÄN</t>
        </is>
      </c>
      <c r="E10" t="inlineStr">
        <is>
          <t>SIGTUNA</t>
        </is>
      </c>
      <c r="G10" t="n">
        <v>4.7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Björksplintborre
Granbarkgnagare
Vågbandad barkbock
Enkelbeckasin
Blåsippa</t>
        </is>
      </c>
      <c r="S10">
        <f>HYPERLINK("https://klasma.github.io/Logging_0191/artfynd/A 61919-2021 artfynd.xlsx", "A 61919-2021")</f>
        <v/>
      </c>
      <c r="T10">
        <f>HYPERLINK("https://klasma.github.io/Logging_0191/kartor/A 61919-2021 karta.png", "A 61919-2021")</f>
        <v/>
      </c>
      <c r="V10">
        <f>HYPERLINK("https://klasma.github.io/Logging_0191/klagomål/A 61919-2021 FSC-klagomål.docx", "A 61919-2021")</f>
        <v/>
      </c>
      <c r="W10">
        <f>HYPERLINK("https://klasma.github.io/Logging_0191/klagomålsmail/A 61919-2021 FSC-klagomål mail.docx", "A 61919-2021")</f>
        <v/>
      </c>
      <c r="X10">
        <f>HYPERLINK("https://klasma.github.io/Logging_0191/tillsyn/A 61919-2021 tillsynsbegäran.docx", "A 61919-2021")</f>
        <v/>
      </c>
      <c r="Y10">
        <f>HYPERLINK("https://klasma.github.io/Logging_0191/tillsynsmail/A 61919-2021 tillsynsbegäran mail.docx", "A 61919-2021")</f>
        <v/>
      </c>
      <c r="Z10">
        <f>HYPERLINK("https://klasma.github.io/Logging_0191/fåglar/A 61919-2021 prioriterade fågelarter.docx", "A 61919-2021")</f>
        <v/>
      </c>
    </row>
    <row r="11" ht="15" customHeight="1">
      <c r="A11" t="inlineStr">
        <is>
          <t>A 10000-2022</t>
        </is>
      </c>
      <c r="B11" s="1" t="n">
        <v>44621</v>
      </c>
      <c r="C11" s="1" t="n">
        <v>45567</v>
      </c>
      <c r="D11" t="inlineStr">
        <is>
          <t>STOCKHOLMS LÄN</t>
        </is>
      </c>
      <c r="E11" t="inlineStr">
        <is>
          <t>SIGTUNA</t>
        </is>
      </c>
      <c r="G11" t="n">
        <v>15.3</v>
      </c>
      <c r="H11" t="n">
        <v>5</v>
      </c>
      <c r="I11" t="n">
        <v>0</v>
      </c>
      <c r="J11" t="n">
        <v>3</v>
      </c>
      <c r="K11" t="n">
        <v>1</v>
      </c>
      <c r="L11" t="n">
        <v>1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Tornseglare
Hussvala
Fiskmås
Gulsparv
Ärtsångare</t>
        </is>
      </c>
      <c r="S11">
        <f>HYPERLINK("https://klasma.github.io/Logging_0191/artfynd/A 10000-2022 artfynd.xlsx", "A 10000-2022")</f>
        <v/>
      </c>
      <c r="T11">
        <f>HYPERLINK("https://klasma.github.io/Logging_0191/kartor/A 10000-2022 karta.png", "A 10000-2022")</f>
        <v/>
      </c>
      <c r="V11">
        <f>HYPERLINK("https://klasma.github.io/Logging_0191/klagomål/A 10000-2022 FSC-klagomål.docx", "A 10000-2022")</f>
        <v/>
      </c>
      <c r="W11">
        <f>HYPERLINK("https://klasma.github.io/Logging_0191/klagomålsmail/A 10000-2022 FSC-klagomål mail.docx", "A 10000-2022")</f>
        <v/>
      </c>
      <c r="X11">
        <f>HYPERLINK("https://klasma.github.io/Logging_0191/tillsyn/A 10000-2022 tillsynsbegäran.docx", "A 10000-2022")</f>
        <v/>
      </c>
      <c r="Y11">
        <f>HYPERLINK("https://klasma.github.io/Logging_0191/tillsynsmail/A 10000-2022 tillsynsbegäran mail.docx", "A 10000-2022")</f>
        <v/>
      </c>
      <c r="Z11">
        <f>HYPERLINK("https://klasma.github.io/Logging_0191/fåglar/A 10000-2022 prioriterade fågelarter.docx", "A 10000-2022")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45567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45567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11714-2021</t>
        </is>
      </c>
      <c r="B14" s="1" t="n">
        <v>44265</v>
      </c>
      <c r="C14" s="1" t="n">
        <v>45567</v>
      </c>
      <c r="D14" t="inlineStr">
        <is>
          <t>STOCKHOLMS LÄN</t>
        </is>
      </c>
      <c r="E14" t="inlineStr">
        <is>
          <t>SIGTUNA</t>
        </is>
      </c>
      <c r="F14" t="inlineStr">
        <is>
          <t>Sveaskog</t>
        </is>
      </c>
      <c r="G14" t="n">
        <v>11.4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Spretfibbla
Guldkremla
Snövit fingersvamp
Svavelriska</t>
        </is>
      </c>
      <c r="S14">
        <f>HYPERLINK("https://klasma.github.io/Logging_0191/artfynd/A 11714-2021 artfynd.xlsx", "A 11714-2021")</f>
        <v/>
      </c>
      <c r="T14">
        <f>HYPERLINK("https://klasma.github.io/Logging_0191/kartor/A 11714-2021 karta.png", "A 11714-2021")</f>
        <v/>
      </c>
      <c r="V14">
        <f>HYPERLINK("https://klasma.github.io/Logging_0191/klagomål/A 11714-2021 FSC-klagomål.docx", "A 11714-2021")</f>
        <v/>
      </c>
      <c r="W14">
        <f>HYPERLINK("https://klasma.github.io/Logging_0191/klagomålsmail/A 11714-2021 FSC-klagomål mail.docx", "A 11714-2021")</f>
        <v/>
      </c>
      <c r="X14">
        <f>HYPERLINK("https://klasma.github.io/Logging_0191/tillsyn/A 11714-2021 tillsynsbegäran.docx", "A 11714-2021")</f>
        <v/>
      </c>
      <c r="Y14">
        <f>HYPERLINK("https://klasma.github.io/Logging_0191/tillsynsmail/A 11714-2021 tillsynsbegäran mail.docx", "A 11714-2021")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45567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45567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18451-2024</t>
        </is>
      </c>
      <c r="B17" s="1" t="n">
        <v>45425</v>
      </c>
      <c r="C17" s="1" t="n">
        <v>45567</v>
      </c>
      <c r="D17" t="inlineStr">
        <is>
          <t>STOCKHOLMS LÄN</t>
        </is>
      </c>
      <c r="E17" t="inlineStr">
        <is>
          <t>SIGTUNA</t>
        </is>
      </c>
      <c r="G17" t="n">
        <v>6.4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Kungsfågel
Blåsippa</t>
        </is>
      </c>
      <c r="S17">
        <f>HYPERLINK("https://klasma.github.io/Logging_0191/artfynd/A 18451-2024 artfynd.xlsx", "A 18451-2024")</f>
        <v/>
      </c>
      <c r="T17">
        <f>HYPERLINK("https://klasma.github.io/Logging_0191/kartor/A 18451-2024 karta.png", "A 18451-2024")</f>
        <v/>
      </c>
      <c r="V17">
        <f>HYPERLINK("https://klasma.github.io/Logging_0191/klagomål/A 18451-2024 FSC-klagomål.docx", "A 18451-2024")</f>
        <v/>
      </c>
      <c r="W17">
        <f>HYPERLINK("https://klasma.github.io/Logging_0191/klagomålsmail/A 18451-2024 FSC-klagomål mail.docx", "A 18451-2024")</f>
        <v/>
      </c>
      <c r="X17">
        <f>HYPERLINK("https://klasma.github.io/Logging_0191/tillsyn/A 18451-2024 tillsynsbegäran.docx", "A 18451-2024")</f>
        <v/>
      </c>
      <c r="Y17">
        <f>HYPERLINK("https://klasma.github.io/Logging_0191/tillsynsmail/A 18451-2024 tillsynsbegäran mail.docx", "A 18451-2024")</f>
        <v/>
      </c>
      <c r="Z17">
        <f>HYPERLINK("https://klasma.github.io/Logging_0191/fåglar/A 18451-2024 prioriterade fågelarter.docx", "A 18451-2024")</f>
        <v/>
      </c>
    </row>
    <row r="18" ht="15" customHeight="1">
      <c r="A18" t="inlineStr">
        <is>
          <t>A 49269-2020</t>
        </is>
      </c>
      <c r="B18" s="1" t="n">
        <v>44105</v>
      </c>
      <c r="C18" s="1" t="n">
        <v>45567</v>
      </c>
      <c r="D18" t="inlineStr">
        <is>
          <t>STOCKHOLMS LÄN</t>
        </is>
      </c>
      <c r="E18" t="inlineStr">
        <is>
          <t>SIGTUNA</t>
        </is>
      </c>
      <c r="G18" t="n">
        <v>12.9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Gullviva</t>
        </is>
      </c>
      <c r="S18">
        <f>HYPERLINK("https://klasma.github.io/Logging_0191/artfynd/A 49269-2020 artfynd.xlsx", "A 49269-2020")</f>
        <v/>
      </c>
      <c r="T18">
        <f>HYPERLINK("https://klasma.github.io/Logging_0191/kartor/A 49269-2020 karta.png", "A 49269-2020")</f>
        <v/>
      </c>
      <c r="V18">
        <f>HYPERLINK("https://klasma.github.io/Logging_0191/klagomål/A 49269-2020 FSC-klagomål.docx", "A 49269-2020")</f>
        <v/>
      </c>
      <c r="W18">
        <f>HYPERLINK("https://klasma.github.io/Logging_0191/klagomålsmail/A 49269-2020 FSC-klagomål mail.docx", "A 49269-2020")</f>
        <v/>
      </c>
      <c r="X18">
        <f>HYPERLINK("https://klasma.github.io/Logging_0191/tillsyn/A 49269-2020 tillsynsbegäran.docx", "A 49269-2020")</f>
        <v/>
      </c>
      <c r="Y18">
        <f>HYPERLINK("https://klasma.github.io/Logging_0191/tillsynsmail/A 49269-2020 tillsynsbegäran mail.docx", "A 49269-2020")</f>
        <v/>
      </c>
      <c r="Z18">
        <f>HYPERLINK("https://klasma.github.io/Logging_0191/fåglar/A 49269-2020 prioriterade fågelarter.docx", "A 49269-2020")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45567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42497-2019</t>
        </is>
      </c>
      <c r="B20" s="1" t="n">
        <v>43699</v>
      </c>
      <c r="C20" s="1" t="n">
        <v>45567</v>
      </c>
      <c r="D20" t="inlineStr">
        <is>
          <t>STOCKHOLMS LÄN</t>
        </is>
      </c>
      <c r="E20" t="inlineStr">
        <is>
          <t>SIGTUNA</t>
        </is>
      </c>
      <c r="G20" t="n">
        <v>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HYPERLINK("https://klasma.github.io/Logging_0191/artfynd/A 42497-2019 artfynd.xlsx", "A 42497-2019")</f>
        <v/>
      </c>
      <c r="T20">
        <f>HYPERLINK("https://klasma.github.io/Logging_0191/kartor/A 42497-2019 karta.png", "A 42497-2019")</f>
        <v/>
      </c>
      <c r="V20">
        <f>HYPERLINK("https://klasma.github.io/Logging_0191/klagomål/A 42497-2019 FSC-klagomål.docx", "A 42497-2019")</f>
        <v/>
      </c>
      <c r="W20">
        <f>HYPERLINK("https://klasma.github.io/Logging_0191/klagomålsmail/A 42497-2019 FSC-klagomål mail.docx", "A 42497-2019")</f>
        <v/>
      </c>
      <c r="X20">
        <f>HYPERLINK("https://klasma.github.io/Logging_0191/tillsyn/A 42497-2019 tillsynsbegäran.docx", "A 42497-2019")</f>
        <v/>
      </c>
      <c r="Y20">
        <f>HYPERLINK("https://klasma.github.io/Logging_0191/tillsynsmail/A 42497-2019 tillsynsbegäran mail.docx", "A 42497-2019")</f>
        <v/>
      </c>
      <c r="Z20">
        <f>HYPERLINK("https://klasma.github.io/Logging_0191/fåglar/A 42497-2019 prioriterade fågelarter.docx", "A 42497-2019")</f>
        <v/>
      </c>
    </row>
    <row r="21" ht="15" customHeight="1">
      <c r="A21" t="inlineStr">
        <is>
          <t>A 16461-2021</t>
        </is>
      </c>
      <c r="B21" s="1" t="n">
        <v>44293</v>
      </c>
      <c r="C21" s="1" t="n">
        <v>45567</v>
      </c>
      <c r="D21" t="inlineStr">
        <is>
          <t>STOCKHOLMS LÄN</t>
        </is>
      </c>
      <c r="E21" t="inlineStr">
        <is>
          <t>SIGTUNA</t>
        </is>
      </c>
      <c r="G21" t="n">
        <v>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vattensalamander</t>
        </is>
      </c>
      <c r="S21">
        <f>HYPERLINK("https://klasma.github.io/Logging_0191/artfynd/A 16461-2021 artfynd.xlsx", "A 16461-2021")</f>
        <v/>
      </c>
      <c r="T21">
        <f>HYPERLINK("https://klasma.github.io/Logging_0191/kartor/A 16461-2021 karta.png", "A 16461-2021")</f>
        <v/>
      </c>
      <c r="V21">
        <f>HYPERLINK("https://klasma.github.io/Logging_0191/klagomål/A 16461-2021 FSC-klagomål.docx", "A 16461-2021")</f>
        <v/>
      </c>
      <c r="W21">
        <f>HYPERLINK("https://klasma.github.io/Logging_0191/klagomålsmail/A 16461-2021 FSC-klagomål mail.docx", "A 16461-2021")</f>
        <v/>
      </c>
      <c r="X21">
        <f>HYPERLINK("https://klasma.github.io/Logging_0191/tillsyn/A 16461-2021 tillsynsbegäran.docx", "A 16461-2021")</f>
        <v/>
      </c>
      <c r="Y21">
        <f>HYPERLINK("https://klasma.github.io/Logging_0191/tillsynsmail/A 16461-2021 tillsynsbegäran mail.docx", "A 16461-2021")</f>
        <v/>
      </c>
    </row>
    <row r="22" ht="15" customHeight="1">
      <c r="A22" t="inlineStr">
        <is>
          <t>A 51189-2022</t>
        </is>
      </c>
      <c r="B22" s="1" t="n">
        <v>44865</v>
      </c>
      <c r="C22" s="1" t="n">
        <v>45567</v>
      </c>
      <c r="D22" t="inlineStr">
        <is>
          <t>STOCKHOLMS LÄN</t>
        </is>
      </c>
      <c r="E22" t="inlineStr">
        <is>
          <t>SIGTUNA</t>
        </is>
      </c>
      <c r="G22" t="n">
        <v>32.8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Vedskivlav</t>
        </is>
      </c>
      <c r="S22">
        <f>HYPERLINK("https://klasma.github.io/Logging_0191/artfynd/A 51189-2022 artfynd.xlsx", "A 51189-2022")</f>
        <v/>
      </c>
      <c r="T22">
        <f>HYPERLINK("https://klasma.github.io/Logging_0191/kartor/A 51189-2022 karta.png", "A 51189-2022")</f>
        <v/>
      </c>
      <c r="V22">
        <f>HYPERLINK("https://klasma.github.io/Logging_0191/klagomål/A 51189-2022 FSC-klagomål.docx", "A 51189-2022")</f>
        <v/>
      </c>
      <c r="W22">
        <f>HYPERLINK("https://klasma.github.io/Logging_0191/klagomålsmail/A 51189-2022 FSC-klagomål mail.docx", "A 51189-2022")</f>
        <v/>
      </c>
      <c r="X22">
        <f>HYPERLINK("https://klasma.github.io/Logging_0191/tillsyn/A 51189-2022 tillsynsbegäran.docx", "A 51189-2022")</f>
        <v/>
      </c>
      <c r="Y22">
        <f>HYPERLINK("https://klasma.github.io/Logging_0191/tillsynsmail/A 51189-2022 tillsynsbegäran mail.docx", "A 51189-2022")</f>
        <v/>
      </c>
    </row>
    <row r="23" ht="15" customHeight="1">
      <c r="A23" t="inlineStr">
        <is>
          <t>A 8149-2023</t>
        </is>
      </c>
      <c r="B23" s="1" t="n">
        <v>44974</v>
      </c>
      <c r="C23" s="1" t="n">
        <v>45567</v>
      </c>
      <c r="D23" t="inlineStr">
        <is>
          <t>STOCKHOLMS LÄN</t>
        </is>
      </c>
      <c r="E23" t="inlineStr">
        <is>
          <t>SIGTUNA</t>
        </is>
      </c>
      <c r="G23" t="n">
        <v>11.5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Trubbdaggkåpa</t>
        </is>
      </c>
      <c r="S23">
        <f>HYPERLINK("https://klasma.github.io/Logging_0191/artfynd/A 8149-2023 artfynd.xlsx", "A 8149-2023")</f>
        <v/>
      </c>
      <c r="T23">
        <f>HYPERLINK("https://klasma.github.io/Logging_0191/kartor/A 8149-2023 karta.png", "A 8149-2023")</f>
        <v/>
      </c>
      <c r="V23">
        <f>HYPERLINK("https://klasma.github.io/Logging_0191/klagomål/A 8149-2023 FSC-klagomål.docx", "A 8149-2023")</f>
        <v/>
      </c>
      <c r="W23">
        <f>HYPERLINK("https://klasma.github.io/Logging_0191/klagomålsmail/A 8149-2023 FSC-klagomål mail.docx", "A 8149-2023")</f>
        <v/>
      </c>
      <c r="X23">
        <f>HYPERLINK("https://klasma.github.io/Logging_0191/tillsyn/A 8149-2023 tillsynsbegäran.docx", "A 8149-2023")</f>
        <v/>
      </c>
      <c r="Y23">
        <f>HYPERLINK("https://klasma.github.io/Logging_0191/tillsynsmail/A 8149-2023 tillsynsbegäran mail.docx", "A 8149-2023")</f>
        <v/>
      </c>
    </row>
    <row r="24" ht="15" customHeight="1">
      <c r="A24" t="inlineStr">
        <is>
          <t>A 15452-2023</t>
        </is>
      </c>
      <c r="B24" s="1" t="n">
        <v>45020</v>
      </c>
      <c r="C24" s="1" t="n">
        <v>45567</v>
      </c>
      <c r="D24" t="inlineStr">
        <is>
          <t>STOCKHOLMS LÄN</t>
        </is>
      </c>
      <c r="E24" t="inlineStr">
        <is>
          <t>SIGTUNA</t>
        </is>
      </c>
      <c r="F24" t="inlineStr">
        <is>
          <t>Allmännings- och besparingsskogar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Trana</t>
        </is>
      </c>
      <c r="S24">
        <f>HYPERLINK("https://klasma.github.io/Logging_0191/artfynd/A 15452-2023 artfynd.xlsx", "A 15452-2023")</f>
        <v/>
      </c>
      <c r="T24">
        <f>HYPERLINK("https://klasma.github.io/Logging_0191/kartor/A 15452-2023 karta.png", "A 15452-2023")</f>
        <v/>
      </c>
      <c r="V24">
        <f>HYPERLINK("https://klasma.github.io/Logging_0191/klagomål/A 15452-2023 FSC-klagomål.docx", "A 15452-2023")</f>
        <v/>
      </c>
      <c r="W24">
        <f>HYPERLINK("https://klasma.github.io/Logging_0191/klagomålsmail/A 15452-2023 FSC-klagomål mail.docx", "A 15452-2023")</f>
        <v/>
      </c>
      <c r="X24">
        <f>HYPERLINK("https://klasma.github.io/Logging_0191/tillsyn/A 15452-2023 tillsynsbegäran.docx", "A 15452-2023")</f>
        <v/>
      </c>
      <c r="Y24">
        <f>HYPERLINK("https://klasma.github.io/Logging_0191/tillsynsmail/A 15452-2023 tillsynsbegäran mail.docx", "A 15452-2023")</f>
        <v/>
      </c>
      <c r="Z24">
        <f>HYPERLINK("https://klasma.github.io/Logging_0191/fåglar/A 15452-2023 prioriterade fågelarter.docx", "A 15452-2023")</f>
        <v/>
      </c>
    </row>
    <row r="25" ht="15" customHeight="1">
      <c r="A25" t="inlineStr">
        <is>
          <t>A 39716-2023</t>
        </is>
      </c>
      <c r="B25" s="1" t="n">
        <v>45166</v>
      </c>
      <c r="C25" s="1" t="n">
        <v>45567</v>
      </c>
      <c r="D25" t="inlineStr">
        <is>
          <t>STOCKHOLMS LÄN</t>
        </is>
      </c>
      <c r="E25" t="inlineStr">
        <is>
          <t>SIGTUNA</t>
        </is>
      </c>
      <c r="G25" t="n">
        <v>3.5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Hornuggla</t>
        </is>
      </c>
      <c r="S25">
        <f>HYPERLINK("https://klasma.github.io/Logging_0191/artfynd/A 39716-2023 artfynd.xlsx", "A 39716-2023")</f>
        <v/>
      </c>
      <c r="T25">
        <f>HYPERLINK("https://klasma.github.io/Logging_0191/kartor/A 39716-2023 karta.png", "A 39716-2023")</f>
        <v/>
      </c>
      <c r="V25">
        <f>HYPERLINK("https://klasma.github.io/Logging_0191/klagomål/A 39716-2023 FSC-klagomål.docx", "A 39716-2023")</f>
        <v/>
      </c>
      <c r="W25">
        <f>HYPERLINK("https://klasma.github.io/Logging_0191/klagomålsmail/A 39716-2023 FSC-klagomål mail.docx", "A 39716-2023")</f>
        <v/>
      </c>
      <c r="X25">
        <f>HYPERLINK("https://klasma.github.io/Logging_0191/tillsyn/A 39716-2023 tillsynsbegäran.docx", "A 39716-2023")</f>
        <v/>
      </c>
      <c r="Y25">
        <f>HYPERLINK("https://klasma.github.io/Logging_0191/tillsynsmail/A 39716-2023 tillsynsbegäran mail.docx", "A 39716-2023")</f>
        <v/>
      </c>
      <c r="Z25">
        <f>HYPERLINK("https://klasma.github.io/Logging_0191/fåglar/A 39716-2023 prioriterade fågelarter.docx", "A 39716-2023")</f>
        <v/>
      </c>
    </row>
    <row r="26" ht="15" customHeight="1">
      <c r="A26" t="inlineStr">
        <is>
          <t>A 64357-2023</t>
        </is>
      </c>
      <c r="B26" s="1" t="n">
        <v>45280</v>
      </c>
      <c r="C26" s="1" t="n">
        <v>45567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Grönsiska</t>
        </is>
      </c>
      <c r="S26">
        <f>HYPERLINK("https://klasma.github.io/Logging_0191/artfynd/A 64357-2023 artfynd.xlsx", "A 64357-2023")</f>
        <v/>
      </c>
      <c r="T26">
        <f>HYPERLINK("https://klasma.github.io/Logging_0191/kartor/A 64357-2023 karta.png", "A 64357-2023")</f>
        <v/>
      </c>
      <c r="V26">
        <f>HYPERLINK("https://klasma.github.io/Logging_0191/klagomål/A 64357-2023 FSC-klagomål.docx", "A 64357-2023")</f>
        <v/>
      </c>
      <c r="W26">
        <f>HYPERLINK("https://klasma.github.io/Logging_0191/klagomålsmail/A 64357-2023 FSC-klagomål mail.docx", "A 64357-2023")</f>
        <v/>
      </c>
      <c r="X26">
        <f>HYPERLINK("https://klasma.github.io/Logging_0191/tillsyn/A 64357-2023 tillsynsbegäran.docx", "A 64357-2023")</f>
        <v/>
      </c>
      <c r="Y26">
        <f>HYPERLINK("https://klasma.github.io/Logging_0191/tillsynsmail/A 64357-2023 tillsynsbegäran mail.docx", "A 64357-2023")</f>
        <v/>
      </c>
      <c r="Z26">
        <f>HYPERLINK("https://klasma.github.io/Logging_0191/fåglar/A 64357-2023 prioriterade fågelarter.docx", "A 64357-2023")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45567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45567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45567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45567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45567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45567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45567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45567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45567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45567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45567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45567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45567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45567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45567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45567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45567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45567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45567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45567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45567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45567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45567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45567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45567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45567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45567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45567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45567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45567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45567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45567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45567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45567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45567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45567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45567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45567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45567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45567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45567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45567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45567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45567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45567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45567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45567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45567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45567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45567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45567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45567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45567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45567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45567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45567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45567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45567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45567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45567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45567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45567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45567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45567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45567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45567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45567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45567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45567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45567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45567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45567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45567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45567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45567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45567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45567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45567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45567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45567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45567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45567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45567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45567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45567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45567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45567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45567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45567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45567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45567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45567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45567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45567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45567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45567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45567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45567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45567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45567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45567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45567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45567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45567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45567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45567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45567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45567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45567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45567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45567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45567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45567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45567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45567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45567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45567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45567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45567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45567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45567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45567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45567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45567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45567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45567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45567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45567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45567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45567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45567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45567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45567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45567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45567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45567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45567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45567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45567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45567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45567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45567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45567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45567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45567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45567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45567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45567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45567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45567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45567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45567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37398-2024</t>
        </is>
      </c>
      <c r="B179" s="1" t="n">
        <v>45540</v>
      </c>
      <c r="C179" s="1" t="n">
        <v>45567</v>
      </c>
      <c r="D179" t="inlineStr">
        <is>
          <t>STOCKHOLMS LÄN</t>
        </is>
      </c>
      <c r="E179" t="inlineStr">
        <is>
          <t>SIGTUNA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37385-2024</t>
        </is>
      </c>
      <c r="B180" s="1" t="n">
        <v>45540</v>
      </c>
      <c r="C180" s="1" t="n">
        <v>45567</v>
      </c>
      <c r="D180" t="inlineStr">
        <is>
          <t>STOCKHOLMS LÄN</t>
        </is>
      </c>
      <c r="E180" t="inlineStr">
        <is>
          <t>SIGTUNA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HYPERLINK("https://klasma.github.io/Logging_0191/knärot/A 37385-2024 karta knärot.png", "A 37385-2024")</f>
        <v/>
      </c>
      <c r="V180">
        <f>HYPERLINK("https://klasma.github.io/Logging_0191/klagomål/A 37385-2024 FSC-klagomål.docx", "A 37385-2024")</f>
        <v/>
      </c>
      <c r="W180">
        <f>HYPERLINK("https://klasma.github.io/Logging_0191/klagomålsmail/A 37385-2024 FSC-klagomål mail.docx", "A 37385-2024")</f>
        <v/>
      </c>
      <c r="X180">
        <f>HYPERLINK("https://klasma.github.io/Logging_0191/tillsyn/A 37385-2024 tillsynsbegäran.docx", "A 37385-2024")</f>
        <v/>
      </c>
      <c r="Y180">
        <f>HYPERLINK("https://klasma.github.io/Logging_0191/tillsynsmail/A 37385-2024 tillsynsbegäran mail.docx", "A 37385-2024")</f>
        <v/>
      </c>
    </row>
    <row r="181" ht="15" customHeight="1">
      <c r="A181" t="inlineStr">
        <is>
          <t>A 37388-2024</t>
        </is>
      </c>
      <c r="B181" s="1" t="n">
        <v>45540</v>
      </c>
      <c r="C181" s="1" t="n">
        <v>45567</v>
      </c>
      <c r="D181" t="inlineStr">
        <is>
          <t>STOCKHOLMS LÄN</t>
        </is>
      </c>
      <c r="E181" t="inlineStr">
        <is>
          <t>SIGTUNA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37392-2024</t>
        </is>
      </c>
      <c r="B182" s="1" t="n">
        <v>45540</v>
      </c>
      <c r="C182" s="1" t="n">
        <v>45567</v>
      </c>
      <c r="D182" t="inlineStr">
        <is>
          <t>STOCKHOLMS LÄN</t>
        </is>
      </c>
      <c r="E182" t="inlineStr">
        <is>
          <t>SIGTUNA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37396-2024</t>
        </is>
      </c>
      <c r="B183" s="1" t="n">
        <v>45540</v>
      </c>
      <c r="C183" s="1" t="n">
        <v>45567</v>
      </c>
      <c r="D183" t="inlineStr">
        <is>
          <t>STOCKHOLMS LÄN</t>
        </is>
      </c>
      <c r="E183" t="inlineStr">
        <is>
          <t>SIGTUNA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40643-2024</t>
        </is>
      </c>
      <c r="B184" s="1" t="n">
        <v>45558</v>
      </c>
      <c r="C184" s="1" t="n">
        <v>45567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42563-2024</t>
        </is>
      </c>
      <c r="B185" s="1" t="n">
        <v>45565</v>
      </c>
      <c r="C185" s="1" t="n">
        <v>45567</v>
      </c>
      <c r="D185" t="inlineStr">
        <is>
          <t>STOCKHOLMS LÄN</t>
        </is>
      </c>
      <c r="E185" t="inlineStr">
        <is>
          <t>SIGTUNA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42567-2024</t>
        </is>
      </c>
      <c r="B186" s="1" t="n">
        <v>45565</v>
      </c>
      <c r="C186" s="1" t="n">
        <v>45567</v>
      </c>
      <c r="D186" t="inlineStr">
        <is>
          <t>STOCKHOLMS LÄN</t>
        </is>
      </c>
      <c r="E186" t="inlineStr">
        <is>
          <t>SIGTUNA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42569-2024</t>
        </is>
      </c>
      <c r="B187" s="1" t="n">
        <v>45565</v>
      </c>
      <c r="C187" s="1" t="n">
        <v>45567</v>
      </c>
      <c r="D187" t="inlineStr">
        <is>
          <t>STOCKHOLMS LÄN</t>
        </is>
      </c>
      <c r="E187" t="inlineStr">
        <is>
          <t>SIGTUNA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42572-2024</t>
        </is>
      </c>
      <c r="B188" s="1" t="n">
        <v>45565</v>
      </c>
      <c r="C188" s="1" t="n">
        <v>45567</v>
      </c>
      <c r="D188" t="inlineStr">
        <is>
          <t>STOCKHOLMS LÄN</t>
        </is>
      </c>
      <c r="E188" t="inlineStr">
        <is>
          <t>SIGTUNA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>
      <c r="A189" t="inlineStr">
        <is>
          <t>A 42772-2024</t>
        </is>
      </c>
      <c r="B189" s="1" t="n">
        <v>45566</v>
      </c>
      <c r="C189" s="1" t="n">
        <v>45567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2024-10-02T12:09:57Z</dcterms:created>
  <dcterms:modified xmlns:dcterms="http://purl.org/dc/terms/" xmlns:xsi="http://www.w3.org/2001/XMLSchema-instance" xsi:type="dcterms:W3CDTF">2024-10-02T12:09:57Z</dcterms:modified>
</cp:coreProperties>
</file>
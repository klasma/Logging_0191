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46160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46160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46160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46160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46160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46160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46160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46160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46160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46160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46160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46160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46160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46160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46160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46160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46160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46160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46160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58619-2023</t>
        </is>
      </c>
      <c r="B26" s="1" t="n">
        <v>45251.54119212963</v>
      </c>
      <c r="C26" s="1" t="n">
        <v>46160</v>
      </c>
      <c r="D26" t="inlineStr">
        <is>
          <t>STOCKHOLMS LÄN</t>
        </is>
      </c>
      <c r="E26" t="inlineStr">
        <is>
          <t>SIGTUNA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46160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60949-2025</t>
        </is>
      </c>
      <c r="B28" s="1" t="n">
        <v>45996</v>
      </c>
      <c r="C28" s="1" t="n">
        <v>46160</v>
      </c>
      <c r="D28" t="inlineStr">
        <is>
          <t>STOCKHOLMS LÄN</t>
        </is>
      </c>
      <c r="E28" t="inlineStr">
        <is>
          <t>SIGTUNA</t>
        </is>
      </c>
      <c r="G28" t="n">
        <v>21.9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59168-2022</t>
        </is>
      </c>
      <c r="B29" s="1" t="n">
        <v>44904.48028935185</v>
      </c>
      <c r="C29" s="1" t="n">
        <v>46160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24105-2025</t>
        </is>
      </c>
      <c r="B30" s="1" t="n">
        <v>45796.60096064815</v>
      </c>
      <c r="C30" s="1" t="n">
        <v>46160</v>
      </c>
      <c r="D30" t="inlineStr">
        <is>
          <t>STOCKHOLMS LÄN</t>
        </is>
      </c>
      <c r="E30" t="inlineStr">
        <is>
          <t>SIGTUNA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41702-2023</t>
        </is>
      </c>
      <c r="B31" s="1" t="n">
        <v>45176</v>
      </c>
      <c r="C31" s="1" t="n">
        <v>46160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60934-2023</t>
        </is>
      </c>
      <c r="B32" s="1" t="n">
        <v>45261.42775462963</v>
      </c>
      <c r="C32" s="1" t="n">
        <v>46160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61576-2024</t>
        </is>
      </c>
      <c r="B33" s="1" t="n">
        <v>45646.6218287037</v>
      </c>
      <c r="C33" s="1" t="n">
        <v>46160</v>
      </c>
      <c r="D33" t="inlineStr">
        <is>
          <t>STOCKHOLMS LÄN</t>
        </is>
      </c>
      <c r="E33" t="inlineStr">
        <is>
          <t>SIGTUNA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26256-2025</t>
        </is>
      </c>
      <c r="B34" s="1" t="n">
        <v>45805.58125</v>
      </c>
      <c r="C34" s="1" t="n">
        <v>46160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38276-2023</t>
        </is>
      </c>
      <c r="B35" s="1" t="n">
        <v>45160</v>
      </c>
      <c r="C35" s="1" t="n">
        <v>46160</v>
      </c>
      <c r="D35" t="inlineStr">
        <is>
          <t>STOCKHOLMS LÄN</t>
        </is>
      </c>
      <c r="E35" t="inlineStr">
        <is>
          <t>SIGTUNA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45233-2024</t>
        </is>
      </c>
      <c r="B36" s="1" t="n">
        <v>45575</v>
      </c>
      <c r="C36" s="1" t="n">
        <v>46160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20375-2023</t>
        </is>
      </c>
      <c r="B37" s="1" t="n">
        <v>45054</v>
      </c>
      <c r="C37" s="1" t="n">
        <v>46160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46160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41957-2025</t>
        </is>
      </c>
      <c r="B39" s="1" t="n">
        <v>45903.46525462963</v>
      </c>
      <c r="C39" s="1" t="n">
        <v>46160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41951-2025</t>
        </is>
      </c>
      <c r="B40" s="1" t="n">
        <v>45903.45920138889</v>
      </c>
      <c r="C40" s="1" t="n">
        <v>46160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46160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46160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51770-2023</t>
        </is>
      </c>
      <c r="B43" s="1" t="n">
        <v>45222.71855324074</v>
      </c>
      <c r="C43" s="1" t="n">
        <v>46160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45822.70847222222</v>
      </c>
      <c r="C44" s="1" t="n">
        <v>46160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59165-2022</t>
        </is>
      </c>
      <c r="B45" s="1" t="n">
        <v>44904.4783912037</v>
      </c>
      <c r="C45" s="1" t="n">
        <v>46160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2663-2026</t>
        </is>
      </c>
      <c r="B46" s="1" t="n">
        <v>46037.64071759259</v>
      </c>
      <c r="C46" s="1" t="n">
        <v>46160</v>
      </c>
      <c r="D46" t="inlineStr">
        <is>
          <t>STOCKHOLMS LÄN</t>
        </is>
      </c>
      <c r="E46" t="inlineStr">
        <is>
          <t>SIGTUNA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2675-2026</t>
        </is>
      </c>
      <c r="B47" s="1" t="n">
        <v>46037.64938657408</v>
      </c>
      <c r="C47" s="1" t="n">
        <v>46160</v>
      </c>
      <c r="D47" t="inlineStr">
        <is>
          <t>STOCKHOLMS LÄN</t>
        </is>
      </c>
      <c r="E47" t="inlineStr">
        <is>
          <t>SIGTUNA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2628-2026</t>
        </is>
      </c>
      <c r="B48" s="1" t="n">
        <v>46037.60576388889</v>
      </c>
      <c r="C48" s="1" t="n">
        <v>46160</v>
      </c>
      <c r="D48" t="inlineStr">
        <is>
          <t>STOCKHOLMS LÄN</t>
        </is>
      </c>
      <c r="E48" t="inlineStr">
        <is>
          <t>SIGTUNA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20960-2023</t>
        </is>
      </c>
      <c r="B49" s="1" t="n">
        <v>45061</v>
      </c>
      <c r="C49" s="1" t="n">
        <v>46160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28851-2022</t>
        </is>
      </c>
      <c r="B50" s="1" t="n">
        <v>44749.47957175926</v>
      </c>
      <c r="C50" s="1" t="n">
        <v>46160</v>
      </c>
      <c r="D50" t="inlineStr">
        <is>
          <t>STOCKHOLMS LÄN</t>
        </is>
      </c>
      <c r="E50" t="inlineStr">
        <is>
          <t>SIGTUNA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3673-2026</t>
        </is>
      </c>
      <c r="B51" s="1" t="n">
        <v>46043</v>
      </c>
      <c r="C51" s="1" t="n">
        <v>46160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4788-2026</t>
        </is>
      </c>
      <c r="B52" s="1" t="n">
        <v>46048.56197916667</v>
      </c>
      <c r="C52" s="1" t="n">
        <v>46160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5175-2026</t>
        </is>
      </c>
      <c r="B53" s="1" t="n">
        <v>46049.64638888889</v>
      </c>
      <c r="C53" s="1" t="n">
        <v>46160</v>
      </c>
      <c r="D53" t="inlineStr">
        <is>
          <t>STOCKHOLMS LÄN</t>
        </is>
      </c>
      <c r="E53" t="inlineStr">
        <is>
          <t>SIGTUNA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46160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46160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46160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46160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56796-2022</t>
        </is>
      </c>
      <c r="B58" s="1" t="n">
        <v>44894.42490740741</v>
      </c>
      <c r="C58" s="1" t="n">
        <v>46160</v>
      </c>
      <c r="D58" t="inlineStr">
        <is>
          <t>STOCKHOLMS LÄN</t>
        </is>
      </c>
      <c r="E58" t="inlineStr">
        <is>
          <t>SIGTUNA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40643-2024</t>
        </is>
      </c>
      <c r="B59" s="1" t="n">
        <v>45558</v>
      </c>
      <c r="C59" s="1" t="n">
        <v>46160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6893-2026</t>
        </is>
      </c>
      <c r="B60" s="1" t="n">
        <v>46057.47671296296</v>
      </c>
      <c r="C60" s="1" t="n">
        <v>46160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7229-2026</t>
        </is>
      </c>
      <c r="B61" s="1" t="n">
        <v>46058.57027777778</v>
      </c>
      <c r="C61" s="1" t="n">
        <v>46160</v>
      </c>
      <c r="D61" t="inlineStr">
        <is>
          <t>STOCKHOLMS LÄN</t>
        </is>
      </c>
      <c r="E61" t="inlineStr">
        <is>
          <t>SIGTUNA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32420-2023</t>
        </is>
      </c>
      <c r="B62" s="1" t="n">
        <v>45110</v>
      </c>
      <c r="C62" s="1" t="n">
        <v>46160</v>
      </c>
      <c r="D62" t="inlineStr">
        <is>
          <t>STOCKHOLMS LÄN</t>
        </is>
      </c>
      <c r="E62" t="inlineStr">
        <is>
          <t>SIGTUNA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32426-2023</t>
        </is>
      </c>
      <c r="B63" s="1" t="n">
        <v>45110</v>
      </c>
      <c r="C63" s="1" t="n">
        <v>46160</v>
      </c>
      <c r="D63" t="inlineStr">
        <is>
          <t>STOCKHOLMS LÄN</t>
        </is>
      </c>
      <c r="E63" t="inlineStr">
        <is>
          <t>SIGTUNA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46757-2023</t>
        </is>
      </c>
      <c r="B64" s="1" t="n">
        <v>45198</v>
      </c>
      <c r="C64" s="1" t="n">
        <v>46160</v>
      </c>
      <c r="D64" t="inlineStr">
        <is>
          <t>STOCKHOLMS LÄN</t>
        </is>
      </c>
      <c r="E64" t="inlineStr">
        <is>
          <t>SIGTUNA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10790-2023</t>
        </is>
      </c>
      <c r="B65" s="1" t="n">
        <v>44989.32980324074</v>
      </c>
      <c r="C65" s="1" t="n">
        <v>46160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12900-2022</t>
        </is>
      </c>
      <c r="B66" s="1" t="n">
        <v>44642</v>
      </c>
      <c r="C66" s="1" t="n">
        <v>46160</v>
      </c>
      <c r="D66" t="inlineStr">
        <is>
          <t>STOCKHOLMS LÄN</t>
        </is>
      </c>
      <c r="E66" t="inlineStr">
        <is>
          <t>SIGTUNA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HYPERLINK("https://klasma.github.io/Logging_0191/knärot/A 12900-2022 karta knärot.png", "A 12900-2022")</f>
        <v/>
      </c>
      <c r="V66">
        <f>HYPERLINK("https://klasma.github.io/Logging_0191/klagomål/A 12900-2022 FSC-klagomål.docx", "A 12900-2022")</f>
        <v/>
      </c>
      <c r="W66">
        <f>HYPERLINK("https://klasma.github.io/Logging_0191/klagomålsmail/A 12900-2022 FSC-klagomål mail.docx", "A 12900-2022")</f>
        <v/>
      </c>
      <c r="X66">
        <f>HYPERLINK("https://klasma.github.io/Logging_0191/tillsyn/A 12900-2022 tillsynsbegäran.docx", "A 12900-2022")</f>
        <v/>
      </c>
      <c r="Y66">
        <f>HYPERLINK("https://klasma.github.io/Logging_0191/tillsynsmail/A 12900-2022 tillsynsbegäran mail.docx", "A 12900-2022")</f>
        <v/>
      </c>
    </row>
    <row r="67" ht="15" customHeight="1">
      <c r="A67" t="inlineStr">
        <is>
          <t>A 25452-2023</t>
        </is>
      </c>
      <c r="B67" s="1" t="n">
        <v>45089</v>
      </c>
      <c r="C67" s="1" t="n">
        <v>46160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25459-2023</t>
        </is>
      </c>
      <c r="B68" s="1" t="n">
        <v>45089</v>
      </c>
      <c r="C68" s="1" t="n">
        <v>46160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7833-2026</t>
        </is>
      </c>
      <c r="B69" s="1" t="n">
        <v>46062.64694444444</v>
      </c>
      <c r="C69" s="1" t="n">
        <v>46160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46160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19294-2025</t>
        </is>
      </c>
      <c r="B71" s="1" t="n">
        <v>45769.56142361111</v>
      </c>
      <c r="C71" s="1" t="n">
        <v>46160</v>
      </c>
      <c r="D71" t="inlineStr">
        <is>
          <t>STOCKHOLMS LÄN</t>
        </is>
      </c>
      <c r="E71" t="inlineStr">
        <is>
          <t>SIGTUNA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46160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46160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46160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60935-2023</t>
        </is>
      </c>
      <c r="B75" s="1" t="n">
        <v>45261</v>
      </c>
      <c r="C75" s="1" t="n">
        <v>46160</v>
      </c>
      <c r="D75" t="inlineStr">
        <is>
          <t>STOCKHOLMS LÄN</t>
        </is>
      </c>
      <c r="E75" t="inlineStr">
        <is>
          <t>SIGTUNA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19288-2025</t>
        </is>
      </c>
      <c r="B76" s="1" t="n">
        <v>45769</v>
      </c>
      <c r="C76" s="1" t="n">
        <v>46160</v>
      </c>
      <c r="D76" t="inlineStr">
        <is>
          <t>STOCKHOLMS LÄN</t>
        </is>
      </c>
      <c r="E76" t="inlineStr">
        <is>
          <t>SIGTUNA</t>
        </is>
      </c>
      <c r="G76" t="n">
        <v>14.5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46160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32424-2023</t>
        </is>
      </c>
      <c r="B78" s="1" t="n">
        <v>45110</v>
      </c>
      <c r="C78" s="1" t="n">
        <v>46160</v>
      </c>
      <c r="D78" t="inlineStr">
        <is>
          <t>STOCKHOLMS LÄN</t>
        </is>
      </c>
      <c r="E78" t="inlineStr">
        <is>
          <t>SIGTUNA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43700-2023</t>
        </is>
      </c>
      <c r="B79" s="1" t="n">
        <v>45187</v>
      </c>
      <c r="C79" s="1" t="n">
        <v>46160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72530-2021</t>
        </is>
      </c>
      <c r="B80" s="1" t="n">
        <v>44546</v>
      </c>
      <c r="C80" s="1" t="n">
        <v>46160</v>
      </c>
      <c r="D80" t="inlineStr">
        <is>
          <t>STOCKHOLMS LÄN</t>
        </is>
      </c>
      <c r="E80" t="inlineStr">
        <is>
          <t>SIGTUNA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60969-2025</t>
        </is>
      </c>
      <c r="B81" s="1" t="n">
        <v>45996</v>
      </c>
      <c r="C81" s="1" t="n">
        <v>46160</v>
      </c>
      <c r="D81" t="inlineStr">
        <is>
          <t>STOCKHOLMS LÄN</t>
        </is>
      </c>
      <c r="E81" t="inlineStr">
        <is>
          <t>SIGTUNA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46160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46160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46160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46160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12052-2026</t>
        </is>
      </c>
      <c r="B86" s="1" t="n">
        <v>46086</v>
      </c>
      <c r="C86" s="1" t="n">
        <v>46160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13662-2026</t>
        </is>
      </c>
      <c r="B87" s="1" t="n">
        <v>46097.46269675926</v>
      </c>
      <c r="C87" s="1" t="n">
        <v>46160</v>
      </c>
      <c r="D87" t="inlineStr">
        <is>
          <t>STOCKHOLMS LÄN</t>
        </is>
      </c>
      <c r="E87" t="inlineStr">
        <is>
          <t>SIGTUNA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17286-2022</t>
        </is>
      </c>
      <c r="B88" s="1" t="n">
        <v>44678</v>
      </c>
      <c r="C88" s="1" t="n">
        <v>46160</v>
      </c>
      <c r="D88" t="inlineStr">
        <is>
          <t>STOCKHOLMS LÄN</t>
        </is>
      </c>
      <c r="E88" t="inlineStr">
        <is>
          <t>SIGTUNA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28752-2024</t>
        </is>
      </c>
      <c r="B89" s="1" t="n">
        <v>45478.57900462963</v>
      </c>
      <c r="C89" s="1" t="n">
        <v>46160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862-2022</t>
        </is>
      </c>
      <c r="B90" s="1" t="n">
        <v>44571</v>
      </c>
      <c r="C90" s="1" t="n">
        <v>46160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24636-2023</t>
        </is>
      </c>
      <c r="B91" s="1" t="n">
        <v>45084</v>
      </c>
      <c r="C91" s="1" t="n">
        <v>46160</v>
      </c>
      <c r="D91" t="inlineStr">
        <is>
          <t>STOCKHOLMS LÄN</t>
        </is>
      </c>
      <c r="E91" t="inlineStr">
        <is>
          <t>SIGTUNA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9856-2024</t>
        </is>
      </c>
      <c r="B92" s="1" t="n">
        <v>45363</v>
      </c>
      <c r="C92" s="1" t="n">
        <v>46160</v>
      </c>
      <c r="D92" t="inlineStr">
        <is>
          <t>STOCKHOLMS LÄN</t>
        </is>
      </c>
      <c r="E92" t="inlineStr">
        <is>
          <t>SIGTUNA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46160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31695-2022</t>
        </is>
      </c>
      <c r="B94" s="1" t="n">
        <v>44776</v>
      </c>
      <c r="C94" s="1" t="n">
        <v>46160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46160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46160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46160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46160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46160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46160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46160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46160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46160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46160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41693-2022</t>
        </is>
      </c>
      <c r="B105" s="1" t="n">
        <v>44827</v>
      </c>
      <c r="C105" s="1" t="n">
        <v>46160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46160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46160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46160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46160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46160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46160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9120-2025</t>
        </is>
      </c>
      <c r="B112" s="1" t="n">
        <v>45713.82875</v>
      </c>
      <c r="C112" s="1" t="n">
        <v>46160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24967-2024</t>
        </is>
      </c>
      <c r="B113" s="1" t="n">
        <v>45461</v>
      </c>
      <c r="C113" s="1" t="n">
        <v>46160</v>
      </c>
      <c r="D113" t="inlineStr">
        <is>
          <t>STOCKHOLMS LÄN</t>
        </is>
      </c>
      <c r="E113" t="inlineStr">
        <is>
          <t>SIGTUNA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16734-2025</t>
        </is>
      </c>
      <c r="B114" s="1" t="n">
        <v>45754.53179398148</v>
      </c>
      <c r="C114" s="1" t="n">
        <v>46160</v>
      </c>
      <c r="D114" t="inlineStr">
        <is>
          <t>STOCKHOLMS LÄN</t>
        </is>
      </c>
      <c r="E114" t="inlineStr">
        <is>
          <t>SIGTUNA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46160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46160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46160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21513-2025</t>
        </is>
      </c>
      <c r="B118" s="1" t="n">
        <v>45782.63189814815</v>
      </c>
      <c r="C118" s="1" t="n">
        <v>46160</v>
      </c>
      <c r="D118" t="inlineStr">
        <is>
          <t>STOCKHOLMS LÄN</t>
        </is>
      </c>
      <c r="E118" t="inlineStr">
        <is>
          <t>SIGTUNA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48375-2024</t>
        </is>
      </c>
      <c r="B119" s="1" t="n">
        <v>45590.58184027778</v>
      </c>
      <c r="C119" s="1" t="n">
        <v>46160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22402-2025</t>
        </is>
      </c>
      <c r="B120" s="1" t="n">
        <v>45786.53287037037</v>
      </c>
      <c r="C120" s="1" t="n">
        <v>46160</v>
      </c>
      <c r="D120" t="inlineStr">
        <is>
          <t>STOCKHOLMS LÄN</t>
        </is>
      </c>
      <c r="E120" t="inlineStr">
        <is>
          <t>SIGTUNA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35961-2024</t>
        </is>
      </c>
      <c r="B121" s="1" t="n">
        <v>45533</v>
      </c>
      <c r="C121" s="1" t="n">
        <v>46160</v>
      </c>
      <c r="D121" t="inlineStr">
        <is>
          <t>STOCKHOLMS LÄN</t>
        </is>
      </c>
      <c r="E121" t="inlineStr">
        <is>
          <t>SIGTUNA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19031-2024</t>
        </is>
      </c>
      <c r="B122" s="1" t="n">
        <v>45427</v>
      </c>
      <c r="C122" s="1" t="n">
        <v>46160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2026-05-18T11:00:49Z</dcterms:created>
  <dcterms:modified xmlns:dcterms="http://purl.org/dc/terms/" xmlns:xsi="http://www.w3.org/2001/XMLSchema-instance" xsi:type="dcterms:W3CDTF">2026-05-18T11:00:49Z</dcterms:modified>
</cp:coreProperties>
</file>
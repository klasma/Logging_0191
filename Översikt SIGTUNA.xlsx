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46306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46306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46306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46306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46306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46306</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46306</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46306</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46306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46306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46306</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46306</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46306</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46306</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33751-2024</t>
        </is>
      </c>
      <c r="B17" t="inlineStr">
        <is>
          <t>avverkningsanmälan</t>
        </is>
      </c>
      <c r="C17" t="inlineStr">
        <is>
          <t>Avverkning för annat ändamål</t>
        </is>
      </c>
      <c r="D17" s="1" t="n">
        <v>45520</v>
      </c>
      <c r="E17" s="1" t="n">
        <v>46306</v>
      </c>
      <c r="F17" t="inlineStr">
        <is>
          <t>STOCKHOLMS LÄN</t>
        </is>
      </c>
      <c r="G17" t="inlineStr">
        <is>
          <t>SIGTUNA</t>
        </is>
      </c>
      <c r="H17" t="inlineStr">
        <is>
          <t>Allmännings- och besparingsskogar</t>
        </is>
      </c>
      <c r="I17" t="n">
        <v>1.5</v>
      </c>
      <c r="J17" t="n">
        <v>1</v>
      </c>
      <c r="K17" t="n">
        <v>0</v>
      </c>
      <c r="L17" t="n">
        <v>0</v>
      </c>
      <c r="M17" t="n">
        <v>1</v>
      </c>
      <c r="N17" t="n">
        <v>0</v>
      </c>
      <c r="O17" t="n">
        <v>0</v>
      </c>
      <c r="P17" t="n">
        <v>0</v>
      </c>
      <c r="Q17" t="n">
        <v>1</v>
      </c>
      <c r="R17" t="n">
        <v>1</v>
      </c>
      <c r="S17" t="n">
        <v>1</v>
      </c>
      <c r="T17" t="n">
        <v>2</v>
      </c>
      <c r="U17" t="n">
        <v>0</v>
      </c>
      <c r="V17" s="2" t="inlineStr">
        <is>
          <t>Grönfink</t>
        </is>
      </c>
      <c r="W17">
        <f>HYPERLINK("https://klasma.github.io/Logging_0191/artfynd/A 33751-2024 artfynd.xlsx", "A 33751-2024")</f>
        <v/>
      </c>
      <c r="X17">
        <f>HYPERLINK("https://klasma.github.io/Logging_0191/kartor/A 33751-2024 karta.png", "A 33751-2024")</f>
        <v/>
      </c>
      <c r="Y17">
        <f>HYPERLINK("https://klasma.github.io/Logging_0191/kartor_geotiff/A 33751-2024 georefererad karta.tif", "A 33751-2024")</f>
        <v/>
      </c>
      <c r="AA17">
        <f>HYPERLINK("https://klasma.github.io/Logging_0191/klagomål/A 33751-2024 FSC-klagomål.docx", "A 33751-2024")</f>
        <v/>
      </c>
      <c r="AB17">
        <f>HYPERLINK("https://klasma.github.io/Logging_0191/klagomålsmail/A 33751-2024 FSC-klagomål mail.docx", "A 33751-2024")</f>
        <v/>
      </c>
      <c r="AC17">
        <f>HYPERLINK("https://klasma.github.io/Logging_0191/tillsyn/A 33751-2024 tillsynsbegäran.docx", "A 33751-2024")</f>
        <v/>
      </c>
      <c r="AD17">
        <f>HYPERLINK("https://klasma.github.io/Logging_0191/tillsynsmail/A 33751-2024 tillsynsbegäran mail.docx", "A 33751-2024")</f>
        <v/>
      </c>
      <c r="AE17">
        <f>HYPERLINK("https://klasma.github.io/Logging_0191/fåglar/A 33751-2024 prioriterade fågelarter.docx", "A 33751-2024")</f>
        <v/>
      </c>
    </row>
    <row r="18" ht="15" customHeight="1">
      <c r="A18" t="inlineStr">
        <is>
          <t>A 39716-2023</t>
        </is>
      </c>
      <c r="B18" t="inlineStr">
        <is>
          <t>avverkningsanmälan</t>
        </is>
      </c>
      <c r="C18" t="inlineStr">
        <is>
          <t>Föryngringsavverkning</t>
        </is>
      </c>
      <c r="D18" s="1" t="n">
        <v>45166</v>
      </c>
      <c r="E18" s="1" t="n">
        <v>46306</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15452-2023</t>
        </is>
      </c>
      <c r="B19" t="inlineStr">
        <is>
          <t>avverkningsanmälan</t>
        </is>
      </c>
      <c r="C19" t="inlineStr">
        <is>
          <t>Avverkning för annat ändamål</t>
        </is>
      </c>
      <c r="D19" s="1" t="n">
        <v>45020</v>
      </c>
      <c r="E19" s="1" t="n">
        <v>46306</v>
      </c>
      <c r="F19" t="inlineStr">
        <is>
          <t>STOCKHOLMS LÄN</t>
        </is>
      </c>
      <c r="G19" t="inlineStr">
        <is>
          <t>SIGTUNA</t>
        </is>
      </c>
      <c r="H19" t="inlineStr">
        <is>
          <t>Allmännings- och besparingsskogar</t>
        </is>
      </c>
      <c r="I19" t="n">
        <v>4.5</v>
      </c>
      <c r="J19" t="n">
        <v>1</v>
      </c>
      <c r="K19" t="n">
        <v>0</v>
      </c>
      <c r="L19" t="n">
        <v>0</v>
      </c>
      <c r="M19" t="n">
        <v>0</v>
      </c>
      <c r="N19" t="n">
        <v>0</v>
      </c>
      <c r="O19" t="n">
        <v>0</v>
      </c>
      <c r="P19" t="n">
        <v>0</v>
      </c>
      <c r="Q19" t="n">
        <v>0</v>
      </c>
      <c r="R19" t="n">
        <v>0</v>
      </c>
      <c r="S19" t="n">
        <v>1</v>
      </c>
      <c r="T19" t="n">
        <v>1</v>
      </c>
      <c r="U19" t="n">
        <v>1</v>
      </c>
      <c r="V19" s="2" t="inlineStr">
        <is>
          <t>Trana</t>
        </is>
      </c>
      <c r="W19">
        <f>HYPERLINK("https://klasma.github.io/Logging_0191/artfynd/A 15452-2023 artfynd.xlsx", "A 15452-2023")</f>
        <v/>
      </c>
      <c r="X19">
        <f>HYPERLINK("https://klasma.github.io/Logging_0191/kartor/A 15452-2023 karta.png", "A 15452-2023")</f>
        <v/>
      </c>
      <c r="Y19">
        <f>HYPERLINK("https://klasma.github.io/Logging_0191/kartor_geotiff/A 15452-2023 georefererad karta.tif", "A 15452-2023")</f>
        <v/>
      </c>
      <c r="AA19">
        <f>HYPERLINK("https://klasma.github.io/Logging_0191/klagomål/A 15452-2023 FSC-klagomål.docx", "A 15452-2023")</f>
        <v/>
      </c>
      <c r="AB19">
        <f>HYPERLINK("https://klasma.github.io/Logging_0191/klagomålsmail/A 15452-2023 FSC-klagomål mail.docx", "A 15452-2023")</f>
        <v/>
      </c>
      <c r="AC19">
        <f>HYPERLINK("https://klasma.github.io/Logging_0191/tillsyn/A 15452-2023 tillsynsbegäran.docx", "A 15452-2023")</f>
        <v/>
      </c>
      <c r="AD19">
        <f>HYPERLINK("https://klasma.github.io/Logging_0191/tillsynsmail/A 15452-2023 tillsynsbegäran mail.docx", "A 15452-2023")</f>
        <v/>
      </c>
      <c r="AE19">
        <f>HYPERLINK("https://klasma.github.io/Logging_0191/fåglar/A 15452-2023 prioriterade fågelarter.docx", "A 15452-2023")</f>
        <v/>
      </c>
    </row>
    <row r="20" ht="15" customHeight="1">
      <c r="A20" t="inlineStr">
        <is>
          <t>A 46757-2023</t>
        </is>
      </c>
      <c r="B20" t="inlineStr">
        <is>
          <t>avverkningsanmälan</t>
        </is>
      </c>
      <c r="C20" t="inlineStr">
        <is>
          <t>Avverkning för annat ändamål</t>
        </is>
      </c>
      <c r="D20" s="1" t="n">
        <v>45198</v>
      </c>
      <c r="E20" s="1" t="n">
        <v>46306</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6893-2026</t>
        </is>
      </c>
      <c r="B21" t="inlineStr">
        <is>
          <t>avverkningsanmälan</t>
        </is>
      </c>
      <c r="C21" t="inlineStr">
        <is>
          <t>Föryngringsavverkning</t>
        </is>
      </c>
      <c r="D21" s="1" t="n">
        <v>46057</v>
      </c>
      <c r="E21" s="1" t="n">
        <v>46306</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37339-2026</t>
        </is>
      </c>
      <c r="B22" t="inlineStr">
        <is>
          <t>avverkningsanmälan</t>
        </is>
      </c>
      <c r="C22" t="inlineStr">
        <is>
          <t>Föryngringsavverkning</t>
        </is>
      </c>
      <c r="D22" s="1" t="n">
        <v>46275</v>
      </c>
      <c r="E22" s="1" t="n">
        <v>46306</v>
      </c>
      <c r="F22" t="inlineStr">
        <is>
          <t>STOCKHOLMS LÄN</t>
        </is>
      </c>
      <c r="G22" t="inlineStr">
        <is>
          <t>SIGTUNA</t>
        </is>
      </c>
      <c r="I22" t="n">
        <v>3.6</v>
      </c>
      <c r="J22" t="n">
        <v>0</v>
      </c>
      <c r="K22" t="n">
        <v>0</v>
      </c>
      <c r="L22" t="n">
        <v>0</v>
      </c>
      <c r="M22" t="n">
        <v>1</v>
      </c>
      <c r="N22" t="n">
        <v>0</v>
      </c>
      <c r="O22" t="n">
        <v>0</v>
      </c>
      <c r="P22" t="n">
        <v>0</v>
      </c>
      <c r="Q22" t="n">
        <v>1</v>
      </c>
      <c r="R22" t="n">
        <v>1</v>
      </c>
      <c r="S22" t="n">
        <v>1</v>
      </c>
      <c r="T22" t="n">
        <v>1</v>
      </c>
      <c r="U22" t="n">
        <v>1</v>
      </c>
      <c r="V22" s="2" t="inlineStr">
        <is>
          <t>Svartfjällig musseron</t>
        </is>
      </c>
      <c r="W22">
        <f>HYPERLINK("https://klasma.github.io/Logging_0191/artfynd/A 37339-2026 artfynd.xlsx", "A 37339-2026")</f>
        <v/>
      </c>
      <c r="X22">
        <f>HYPERLINK("https://klasma.github.io/Logging_0191/kartor/A 37339-2026 karta.png", "A 37339-2026")</f>
        <v/>
      </c>
      <c r="Y22">
        <f>HYPERLINK("https://klasma.github.io/Logging_0191/kartor_geotiff/A 37339-2026 georefererad karta.tif", "A 37339-2026")</f>
        <v/>
      </c>
      <c r="AA22">
        <f>HYPERLINK("https://klasma.github.io/Logging_0191/klagomål/A 37339-2026 FSC-klagomål.docx", "A 37339-2026")</f>
        <v/>
      </c>
      <c r="AB22">
        <f>HYPERLINK("https://klasma.github.io/Logging_0191/klagomålsmail/A 37339-2026 FSC-klagomål mail.docx", "A 37339-2026")</f>
        <v/>
      </c>
      <c r="AC22">
        <f>HYPERLINK("https://klasma.github.io/Logging_0191/tillsyn/A 37339-2026 tillsynsbegäran.docx", "A 37339-2026")</f>
        <v/>
      </c>
      <c r="AD22">
        <f>HYPERLINK("https://klasma.github.io/Logging_0191/tillsynsmail/A 37339-2026 tillsynsbegäran mail.docx", "A 37339-2026")</f>
        <v/>
      </c>
    </row>
    <row r="23" ht="15" customHeight="1">
      <c r="A23" t="inlineStr">
        <is>
          <t>A 9750-2022</t>
        </is>
      </c>
      <c r="B23" t="inlineStr">
        <is>
          <t>avverkningsanmälan</t>
        </is>
      </c>
      <c r="C23" t="inlineStr">
        <is>
          <t>Föryngringsavverkning</t>
        </is>
      </c>
      <c r="D23" s="1" t="n">
        <v>44618</v>
      </c>
      <c r="E23" s="1" t="n">
        <v>46306</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9767-2022</t>
        </is>
      </c>
      <c r="B24" t="inlineStr">
        <is>
          <t>avverkningsanmälan</t>
        </is>
      </c>
      <c r="C24" t="inlineStr">
        <is>
          <t>Föryngringsavverkning</t>
        </is>
      </c>
      <c r="D24" s="1" t="n">
        <v>44619</v>
      </c>
      <c r="E24" s="1" t="n">
        <v>46306</v>
      </c>
      <c r="F24" t="inlineStr">
        <is>
          <t>STOCKHOLMS LÄN</t>
        </is>
      </c>
      <c r="G24" t="inlineStr">
        <is>
          <t>SIGTUNA</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46306</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46306</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5142-2024</t>
        </is>
      </c>
      <c r="B27" t="inlineStr">
        <is>
          <t>avverkningsanmälan</t>
        </is>
      </c>
      <c r="C27" t="inlineStr">
        <is>
          <t>Avverkning för annat ändamål</t>
        </is>
      </c>
      <c r="D27" s="1" t="n">
        <v>45330</v>
      </c>
      <c r="E27" s="1" t="n">
        <v>46306</v>
      </c>
      <c r="F27" t="inlineStr">
        <is>
          <t>STOCKHOLMS LÄN</t>
        </is>
      </c>
      <c r="G27" t="inlineStr">
        <is>
          <t>SIGTUNA</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37392-2024</t>
        </is>
      </c>
      <c r="B28" t="inlineStr">
        <is>
          <t>avverkningsanmälan</t>
        </is>
      </c>
      <c r="C28" t="inlineStr">
        <is>
          <t>Föryngringsavverkning</t>
        </is>
      </c>
      <c r="D28" s="1" t="n">
        <v>45540</v>
      </c>
      <c r="E28" s="1" t="n">
        <v>46306</v>
      </c>
      <c r="F28" t="inlineStr">
        <is>
          <t>STOCKHOLMS LÄN</t>
        </is>
      </c>
      <c r="G28" t="inlineStr">
        <is>
          <t>SIGTUNA</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20957-2023</t>
        </is>
      </c>
      <c r="B29" t="inlineStr">
        <is>
          <t>avverkningsanmälan</t>
        </is>
      </c>
      <c r="C29" t="inlineStr">
        <is>
          <t>Föryngringsavverkning</t>
        </is>
      </c>
      <c r="D29" s="1" t="n">
        <v>45061</v>
      </c>
      <c r="E29" s="1" t="n">
        <v>46306</v>
      </c>
      <c r="F29" t="inlineStr">
        <is>
          <t>STOCKHOLMS LÄN</t>
        </is>
      </c>
      <c r="G29" t="inlineStr">
        <is>
          <t>SIGTUNA</t>
        </is>
      </c>
      <c r="I29" t="n">
        <v>0.3</v>
      </c>
      <c r="J29" t="n">
        <v>0</v>
      </c>
      <c r="K29" t="n">
        <v>0</v>
      </c>
      <c r="L29" t="n">
        <v>0</v>
      </c>
      <c r="M29" t="n">
        <v>0</v>
      </c>
      <c r="N29" t="n">
        <v>0</v>
      </c>
      <c r="O29" t="n">
        <v>0</v>
      </c>
      <c r="P29" t="n">
        <v>0</v>
      </c>
      <c r="Q29" t="n">
        <v>0</v>
      </c>
      <c r="R29" t="n">
        <v>0</v>
      </c>
      <c r="S29" t="n">
        <v>0</v>
      </c>
      <c r="T29" t="n">
        <v>0</v>
      </c>
      <c r="U29" t="n">
        <v>0</v>
      </c>
      <c r="V29" s="2" t="inlineStr"/>
    </row>
    <row r="30" ht="15" customHeight="1">
      <c r="A30" t="inlineStr">
        <is>
          <t>A 38465-2023</t>
        </is>
      </c>
      <c r="B30" t="inlineStr">
        <is>
          <t>avverkningsanmälan</t>
        </is>
      </c>
      <c r="C30" t="inlineStr">
        <is>
          <t>Föryngringsavverkning</t>
        </is>
      </c>
      <c r="D30" s="1" t="n">
        <v>45162</v>
      </c>
      <c r="E30" s="1" t="n">
        <v>46306</v>
      </c>
      <c r="F30" t="inlineStr">
        <is>
          <t>STOCKHOLMS LÄN</t>
        </is>
      </c>
      <c r="G30" t="inlineStr">
        <is>
          <t>SIGTUNA</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46306</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31684-2022</t>
        </is>
      </c>
      <c r="B32" t="inlineStr">
        <is>
          <t>avverkningsanmälan</t>
        </is>
      </c>
      <c r="C32" t="inlineStr">
        <is>
          <t>Avverkning för att bevara och utveckla /försöksver</t>
        </is>
      </c>
      <c r="D32" s="1" t="n">
        <v>44776</v>
      </c>
      <c r="E32" s="1" t="n">
        <v>46306</v>
      </c>
      <c r="F32" t="inlineStr">
        <is>
          <t>STOCKHOLMS LÄN</t>
        </is>
      </c>
      <c r="G32" t="inlineStr">
        <is>
          <t>SIGTUNA</t>
        </is>
      </c>
      <c r="H32" t="inlineStr">
        <is>
          <t>Kommuner</t>
        </is>
      </c>
      <c r="I32" t="n">
        <v>2.5</v>
      </c>
      <c r="J32" t="n">
        <v>0</v>
      </c>
      <c r="K32" t="n">
        <v>0</v>
      </c>
      <c r="L32" t="n">
        <v>0</v>
      </c>
      <c r="M32" t="n">
        <v>0</v>
      </c>
      <c r="N32" t="n">
        <v>0</v>
      </c>
      <c r="O32" t="n">
        <v>0</v>
      </c>
      <c r="P32" t="n">
        <v>0</v>
      </c>
      <c r="Q32" t="n">
        <v>0</v>
      </c>
      <c r="R32" t="n">
        <v>0</v>
      </c>
      <c r="S32" t="n">
        <v>0</v>
      </c>
      <c r="T32" t="n">
        <v>0</v>
      </c>
      <c r="U32" t="n">
        <v>0</v>
      </c>
      <c r="V32" s="2" t="inlineStr"/>
    </row>
    <row r="33" ht="15" customHeight="1">
      <c r="A33" t="inlineStr">
        <is>
          <t>A 43700-2023</t>
        </is>
      </c>
      <c r="B33" t="inlineStr">
        <is>
          <t>avverkningsanmälan</t>
        </is>
      </c>
      <c r="C33" t="inlineStr">
        <is>
          <t>Föryngringsavverkning</t>
        </is>
      </c>
      <c r="D33" s="1" t="n">
        <v>45187</v>
      </c>
      <c r="E33" s="1" t="n">
        <v>46306</v>
      </c>
      <c r="F33" t="inlineStr">
        <is>
          <t>STOCKHOLMS LÄN</t>
        </is>
      </c>
      <c r="G33" t="inlineStr">
        <is>
          <t>SIGTUNA</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49592-2023</t>
        </is>
      </c>
      <c r="B34" t="inlineStr">
        <is>
          <t>avverkningsanmälan</t>
        </is>
      </c>
      <c r="C34" t="inlineStr">
        <is>
          <t>Föryngringsavverkning</t>
        </is>
      </c>
      <c r="D34" s="1" t="n">
        <v>45211</v>
      </c>
      <c r="E34" s="1" t="n">
        <v>46306</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72530-2021</t>
        </is>
      </c>
      <c r="B35" t="inlineStr">
        <is>
          <t>avverkningsanmälan</t>
        </is>
      </c>
      <c r="C35" t="inlineStr">
        <is>
          <t>Avverkning för annat ändamål</t>
        </is>
      </c>
      <c r="D35" s="1" t="n">
        <v>44546</v>
      </c>
      <c r="E35" s="1" t="n">
        <v>46306</v>
      </c>
      <c r="F35" t="inlineStr">
        <is>
          <t>STOCKHOLMS LÄN</t>
        </is>
      </c>
      <c r="G35" t="inlineStr">
        <is>
          <t>SIGTUNA</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59168-2022</t>
        </is>
      </c>
      <c r="B36" t="inlineStr">
        <is>
          <t>avverkningsanmälan</t>
        </is>
      </c>
      <c r="C36" t="inlineStr">
        <is>
          <t>Föryngringsavverkning</t>
        </is>
      </c>
      <c r="D36" s="1" t="n">
        <v>44904</v>
      </c>
      <c r="E36" s="1" t="n">
        <v>46306</v>
      </c>
      <c r="F36" t="inlineStr">
        <is>
          <t>STOCKHOLMS LÄN</t>
        </is>
      </c>
      <c r="G36" t="inlineStr">
        <is>
          <t>SIGTUNA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60865-2024</t>
        </is>
      </c>
      <c r="B37" t="inlineStr">
        <is>
          <t>avverkningsanmälan</t>
        </is>
      </c>
      <c r="C37" t="inlineStr">
        <is>
          <t>Föryngringsavverkning</t>
        </is>
      </c>
      <c r="D37" s="1" t="n">
        <v>45644</v>
      </c>
      <c r="E37" s="1" t="n">
        <v>46306</v>
      </c>
      <c r="F37" t="inlineStr">
        <is>
          <t>STOCKHOLMS LÄN</t>
        </is>
      </c>
      <c r="G37" t="inlineStr">
        <is>
          <t>SIGTUNA</t>
        </is>
      </c>
      <c r="I37" t="n">
        <v>0.2</v>
      </c>
      <c r="J37" t="n">
        <v>0</v>
      </c>
      <c r="K37" t="n">
        <v>0</v>
      </c>
      <c r="L37" t="n">
        <v>0</v>
      </c>
      <c r="M37" t="n">
        <v>0</v>
      </c>
      <c r="N37" t="n">
        <v>0</v>
      </c>
      <c r="O37" t="n">
        <v>0</v>
      </c>
      <c r="P37" t="n">
        <v>0</v>
      </c>
      <c r="Q37" t="n">
        <v>0</v>
      </c>
      <c r="R37" t="n">
        <v>0</v>
      </c>
      <c r="S37" t="n">
        <v>0</v>
      </c>
      <c r="T37" t="n">
        <v>0</v>
      </c>
      <c r="U37" t="n">
        <v>0</v>
      </c>
      <c r="V37" s="2" t="inlineStr"/>
    </row>
    <row r="38" ht="15" customHeight="1">
      <c r="A38" t="inlineStr">
        <is>
          <t>A 9120-2025</t>
        </is>
      </c>
      <c r="B38" t="inlineStr">
        <is>
          <t>avverkningsanmälan</t>
        </is>
      </c>
      <c r="C38" t="inlineStr">
        <is>
          <t>Föryngringsavverkning</t>
        </is>
      </c>
      <c r="D38" s="1" t="n">
        <v>45713</v>
      </c>
      <c r="E38" s="1" t="n">
        <v>46306</v>
      </c>
      <c r="F38" t="inlineStr">
        <is>
          <t>STOCKHOLMS LÄN</t>
        </is>
      </c>
      <c r="G38" t="inlineStr">
        <is>
          <t>SIGTUNA</t>
        </is>
      </c>
      <c r="H38" t="inlineStr">
        <is>
          <t>Allmännings- och besparingsskogar</t>
        </is>
      </c>
      <c r="I38" t="n">
        <v>9.699999999999999</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46306</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24967-2024</t>
        </is>
      </c>
      <c r="B40" t="inlineStr">
        <is>
          <t>avverkningsanmälan</t>
        </is>
      </c>
      <c r="C40" t="inlineStr">
        <is>
          <t>Föryngringsavverkning</t>
        </is>
      </c>
      <c r="D40" s="1" t="n">
        <v>45461</v>
      </c>
      <c r="E40" s="1" t="n">
        <v>46306</v>
      </c>
      <c r="F40" t="inlineStr">
        <is>
          <t>STOCKHOLMS LÄN</t>
        </is>
      </c>
      <c r="G40" t="inlineStr">
        <is>
          <t>SIGTUNA</t>
        </is>
      </c>
      <c r="I40" t="n">
        <v>3.5</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46306</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17320-2023</t>
        </is>
      </c>
      <c r="B42" t="inlineStr">
        <is>
          <t>avverkningsanmälan</t>
        </is>
      </c>
      <c r="C42" t="inlineStr">
        <is>
          <t>Föryngringsavverkning</t>
        </is>
      </c>
      <c r="D42" s="1" t="n">
        <v>45035</v>
      </c>
      <c r="E42" s="1" t="n">
        <v>46306</v>
      </c>
      <c r="F42" t="inlineStr">
        <is>
          <t>STOCKHOLMS LÄN</t>
        </is>
      </c>
      <c r="G42" t="inlineStr">
        <is>
          <t>SIGTUNA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43158-2024</t>
        </is>
      </c>
      <c r="B43" t="inlineStr">
        <is>
          <t>avverkningsanmälan</t>
        </is>
      </c>
      <c r="C43" t="inlineStr">
        <is>
          <t>Föryngringsavverkning</t>
        </is>
      </c>
      <c r="D43" s="1" t="n">
        <v>45567</v>
      </c>
      <c r="E43" s="1" t="n">
        <v>46306</v>
      </c>
      <c r="F43" t="inlineStr">
        <is>
          <t>STOCKHOLMS LÄN</t>
        </is>
      </c>
      <c r="G43" t="inlineStr">
        <is>
          <t>SIGTUNA</t>
        </is>
      </c>
      <c r="I43" t="n">
        <v>5</v>
      </c>
      <c r="J43" t="n">
        <v>0</v>
      </c>
      <c r="K43" t="n">
        <v>0</v>
      </c>
      <c r="L43" t="n">
        <v>0</v>
      </c>
      <c r="M43" t="n">
        <v>0</v>
      </c>
      <c r="N43" t="n">
        <v>0</v>
      </c>
      <c r="O43" t="n">
        <v>0</v>
      </c>
      <c r="P43" t="n">
        <v>0</v>
      </c>
      <c r="Q43" t="n">
        <v>0</v>
      </c>
      <c r="R43" t="n">
        <v>0</v>
      </c>
      <c r="S43" t="n">
        <v>0</v>
      </c>
      <c r="T43" t="n">
        <v>0</v>
      </c>
      <c r="U43" t="n">
        <v>0</v>
      </c>
      <c r="V43" s="2" t="inlineStr"/>
    </row>
    <row r="44" ht="15" customHeight="1">
      <c r="A44" t="inlineStr">
        <is>
          <t>A 24946-2024</t>
        </is>
      </c>
      <c r="B44" t="inlineStr">
        <is>
          <t>avverkningsanmälan</t>
        </is>
      </c>
      <c r="C44" t="inlineStr">
        <is>
          <t>Föryngringsavverkning</t>
        </is>
      </c>
      <c r="D44" s="1" t="n">
        <v>45461</v>
      </c>
      <c r="E44" s="1" t="n">
        <v>46306</v>
      </c>
      <c r="F44" t="inlineStr">
        <is>
          <t>STOCKHOLMS LÄN</t>
        </is>
      </c>
      <c r="G44" t="inlineStr">
        <is>
          <t>SIGTUNA</t>
        </is>
      </c>
      <c r="I44" t="n">
        <v>12.5</v>
      </c>
      <c r="J44" t="n">
        <v>0</v>
      </c>
      <c r="K44" t="n">
        <v>0</v>
      </c>
      <c r="L44" t="n">
        <v>0</v>
      </c>
      <c r="M44" t="n">
        <v>0</v>
      </c>
      <c r="N44" t="n">
        <v>0</v>
      </c>
      <c r="O44" t="n">
        <v>0</v>
      </c>
      <c r="P44" t="n">
        <v>0</v>
      </c>
      <c r="Q44" t="n">
        <v>0</v>
      </c>
      <c r="R44" t="n">
        <v>0</v>
      </c>
      <c r="S44" t="n">
        <v>0</v>
      </c>
      <c r="T44" t="n">
        <v>0</v>
      </c>
      <c r="U44" t="n">
        <v>0</v>
      </c>
      <c r="V44" s="2" t="inlineStr"/>
    </row>
    <row r="45" ht="15" customHeight="1">
      <c r="A45" t="inlineStr">
        <is>
          <t>A 3890-2025</t>
        </is>
      </c>
      <c r="B45" t="inlineStr">
        <is>
          <t>avverkningsanmälan</t>
        </is>
      </c>
      <c r="C45" t="inlineStr">
        <is>
          <t>Föryngringsavverkning</t>
        </is>
      </c>
      <c r="D45" s="1" t="n">
        <v>45684</v>
      </c>
      <c r="E45" s="1" t="n">
        <v>46306</v>
      </c>
      <c r="F45" t="inlineStr">
        <is>
          <t>STOCKHOLMS LÄN</t>
        </is>
      </c>
      <c r="G45" t="inlineStr">
        <is>
          <t>SIGTUNA</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7214-2022</t>
        </is>
      </c>
      <c r="B46" t="inlineStr">
        <is>
          <t>avverkningsanmälan</t>
        </is>
      </c>
      <c r="C46" t="inlineStr">
        <is>
          <t>Föryngringsavverkning</t>
        </is>
      </c>
      <c r="D46" s="1" t="n">
        <v>44606</v>
      </c>
      <c r="E46" s="1" t="n">
        <v>46306</v>
      </c>
      <c r="F46" t="inlineStr">
        <is>
          <t>STOCKHOLMS LÄN</t>
        </is>
      </c>
      <c r="G46" t="inlineStr">
        <is>
          <t>SIGTUNA</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45319-2023</t>
        </is>
      </c>
      <c r="B47" t="inlineStr">
        <is>
          <t>avverkningsanmälan</t>
        </is>
      </c>
      <c r="C47" t="inlineStr">
        <is>
          <t>Föryngringsavverkning</t>
        </is>
      </c>
      <c r="D47" s="1" t="n">
        <v>45191</v>
      </c>
      <c r="E47" s="1" t="n">
        <v>46306</v>
      </c>
      <c r="F47" t="inlineStr">
        <is>
          <t>STOCKHOLMS LÄN</t>
        </is>
      </c>
      <c r="G47" t="inlineStr">
        <is>
          <t>SIGTUNA</t>
        </is>
      </c>
      <c r="H47" t="inlineStr">
        <is>
          <t>Allmännings- och besparingsskogar</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38276-2023</t>
        </is>
      </c>
      <c r="B48" t="inlineStr">
        <is>
          <t>avverkningsanmälan</t>
        </is>
      </c>
      <c r="C48" t="inlineStr">
        <is>
          <t>Föryngringsavverkning</t>
        </is>
      </c>
      <c r="D48" s="1" t="n">
        <v>45160</v>
      </c>
      <c r="E48" s="1" t="n">
        <v>46306</v>
      </c>
      <c r="F48" t="inlineStr">
        <is>
          <t>STOCKHOLMS LÄN</t>
        </is>
      </c>
      <c r="G48" t="inlineStr">
        <is>
          <t>SIGTUNA</t>
        </is>
      </c>
      <c r="I48" t="n">
        <v>18.1</v>
      </c>
      <c r="J48" t="n">
        <v>0</v>
      </c>
      <c r="K48" t="n">
        <v>0</v>
      </c>
      <c r="L48" t="n">
        <v>0</v>
      </c>
      <c r="M48" t="n">
        <v>0</v>
      </c>
      <c r="N48" t="n">
        <v>0</v>
      </c>
      <c r="O48" t="n">
        <v>0</v>
      </c>
      <c r="P48" t="n">
        <v>0</v>
      </c>
      <c r="Q48" t="n">
        <v>0</v>
      </c>
      <c r="R48" t="n">
        <v>0</v>
      </c>
      <c r="S48" t="n">
        <v>0</v>
      </c>
      <c r="T48" t="n">
        <v>0</v>
      </c>
      <c r="U48" t="n">
        <v>0</v>
      </c>
      <c r="V48" s="2" t="inlineStr"/>
    </row>
    <row r="49" ht="15" customHeight="1">
      <c r="A49" t="inlineStr">
        <is>
          <t>A 45233-2024</t>
        </is>
      </c>
      <c r="B49" t="inlineStr">
        <is>
          <t>avverkningsanmälan</t>
        </is>
      </c>
      <c r="C49" t="inlineStr">
        <is>
          <t>Föryngringsavverkning</t>
        </is>
      </c>
      <c r="D49" s="1" t="n">
        <v>45575</v>
      </c>
      <c r="E49" s="1" t="n">
        <v>46306</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21513-2025</t>
        </is>
      </c>
      <c r="B50" t="inlineStr">
        <is>
          <t>avverkningsanmälan</t>
        </is>
      </c>
      <c r="C50" t="inlineStr">
        <is>
          <t>Föryngringsavverkning</t>
        </is>
      </c>
      <c r="D50" s="1" t="n">
        <v>45782</v>
      </c>
      <c r="E50" s="1" t="n">
        <v>46306</v>
      </c>
      <c r="F50" t="inlineStr">
        <is>
          <t>STOCKHOLMS LÄN</t>
        </is>
      </c>
      <c r="G50" t="inlineStr">
        <is>
          <t>SIGTUNA</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20375-2023</t>
        </is>
      </c>
      <c r="B51" t="inlineStr">
        <is>
          <t>avverkningsanmälan</t>
        </is>
      </c>
      <c r="C51" t="inlineStr">
        <is>
          <t>Föryngringsavverkning</t>
        </is>
      </c>
      <c r="D51" s="1" t="n">
        <v>45054</v>
      </c>
      <c r="E51" s="1" t="n">
        <v>46306</v>
      </c>
      <c r="F51" t="inlineStr">
        <is>
          <t>STOCKHOLMS LÄN</t>
        </is>
      </c>
      <c r="G51" t="inlineStr">
        <is>
          <t>SIGTUNA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48375-2024</t>
        </is>
      </c>
      <c r="B52" t="inlineStr">
        <is>
          <t>avverkningsanmälan</t>
        </is>
      </c>
      <c r="C52" t="inlineStr">
        <is>
          <t>Föryngringsavverkning</t>
        </is>
      </c>
      <c r="D52" s="1" t="n">
        <v>45590</v>
      </c>
      <c r="E52" s="1" t="n">
        <v>46306</v>
      </c>
      <c r="F52" t="inlineStr">
        <is>
          <t>STOCKHOLMS LÄN</t>
        </is>
      </c>
      <c r="G52" t="inlineStr">
        <is>
          <t>SIGTUNA</t>
        </is>
      </c>
      <c r="H52" t="inlineStr">
        <is>
          <t>Allmännings- och besparingsskogar</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22402-2025</t>
        </is>
      </c>
      <c r="B53" t="inlineStr">
        <is>
          <t>avverkningsanmälan</t>
        </is>
      </c>
      <c r="C53" t="inlineStr">
        <is>
          <t>Föryngringsavverkning</t>
        </is>
      </c>
      <c r="D53" s="1" t="n">
        <v>45786</v>
      </c>
      <c r="E53" s="1" t="n">
        <v>46306</v>
      </c>
      <c r="F53" t="inlineStr">
        <is>
          <t>STOCKHOLMS LÄN</t>
        </is>
      </c>
      <c r="G53" t="inlineStr">
        <is>
          <t>SIGTUNA</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35961-2024</t>
        </is>
      </c>
      <c r="B54" t="inlineStr">
        <is>
          <t>avverkningsanmälan</t>
        </is>
      </c>
      <c r="C54" t="inlineStr">
        <is>
          <t>Föryngringsavverkning</t>
        </is>
      </c>
      <c r="D54" s="1" t="n">
        <v>45533</v>
      </c>
      <c r="E54" s="1" t="n">
        <v>46306</v>
      </c>
      <c r="F54" t="inlineStr">
        <is>
          <t>STOCKHOLMS LÄN</t>
        </is>
      </c>
      <c r="G54" t="inlineStr">
        <is>
          <t>SIGTUNA</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19031-2024</t>
        </is>
      </c>
      <c r="B55" t="inlineStr">
        <is>
          <t>avverkningsanmälan</t>
        </is>
      </c>
      <c r="C55" t="inlineStr">
        <is>
          <t>Avverkning för annat ändamål</t>
        </is>
      </c>
      <c r="D55" s="1" t="n">
        <v>45427</v>
      </c>
      <c r="E55" s="1" t="n">
        <v>46306</v>
      </c>
      <c r="F55" t="inlineStr">
        <is>
          <t>STOCKHOLMS LÄN</t>
        </is>
      </c>
      <c r="G55" t="inlineStr">
        <is>
          <t>SIGTUNA</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51770-2023</t>
        </is>
      </c>
      <c r="B56" t="inlineStr">
        <is>
          <t>avverkningsanmälan</t>
        </is>
      </c>
      <c r="C56" t="inlineStr">
        <is>
          <t>Föryngringsavverkning</t>
        </is>
      </c>
      <c r="D56" s="1" t="n">
        <v>45222</v>
      </c>
      <c r="E56" s="1" t="n">
        <v>46306</v>
      </c>
      <c r="F56" t="inlineStr">
        <is>
          <t>STOCKHOLMS LÄN</t>
        </is>
      </c>
      <c r="G56" t="inlineStr">
        <is>
          <t>SIGTUNA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59165-2022</t>
        </is>
      </c>
      <c r="B57" t="inlineStr">
        <is>
          <t>avverkningsanmälan</t>
        </is>
      </c>
      <c r="C57" t="inlineStr">
        <is>
          <t>Föryngringsavverkning</t>
        </is>
      </c>
      <c r="D57" s="1" t="n">
        <v>44904</v>
      </c>
      <c r="E57" s="1" t="n">
        <v>46306</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17286-2022</t>
        </is>
      </c>
      <c r="B58" t="inlineStr">
        <is>
          <t>avverkningsanmälan</t>
        </is>
      </c>
      <c r="C58" t="inlineStr">
        <is>
          <t>Avverkning för annat ändamål</t>
        </is>
      </c>
      <c r="D58" s="1" t="n">
        <v>44678</v>
      </c>
      <c r="E58" s="1" t="n">
        <v>46306</v>
      </c>
      <c r="F58" t="inlineStr">
        <is>
          <t>STOCKHOLMS LÄN</t>
        </is>
      </c>
      <c r="G58" t="inlineStr">
        <is>
          <t>SIGTUNA</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47392-2025</t>
        </is>
      </c>
      <c r="B59" t="inlineStr">
        <is>
          <t>avverkningsanmälan</t>
        </is>
      </c>
      <c r="C59" t="inlineStr">
        <is>
          <t>Föryngringsavverkning</t>
        </is>
      </c>
      <c r="D59" s="1" t="n">
        <v>45930</v>
      </c>
      <c r="E59" s="1" t="n">
        <v>46306</v>
      </c>
      <c r="F59" t="inlineStr">
        <is>
          <t>STOCKHOLMS LÄN</t>
        </is>
      </c>
      <c r="G59" t="inlineStr">
        <is>
          <t>SIGTUNA</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24105-2025</t>
        </is>
      </c>
      <c r="B60" t="inlineStr">
        <is>
          <t>avverkningsanmälan</t>
        </is>
      </c>
      <c r="C60" t="inlineStr">
        <is>
          <t>Föryngringsavverkning</t>
        </is>
      </c>
      <c r="D60" s="1" t="n">
        <v>45796</v>
      </c>
      <c r="E60" s="1" t="n">
        <v>46306</v>
      </c>
      <c r="F60" t="inlineStr">
        <is>
          <t>STOCKHOLMS LÄN</t>
        </is>
      </c>
      <c r="G60" t="inlineStr">
        <is>
          <t>SIGTUNA</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28752-2024</t>
        </is>
      </c>
      <c r="B61" t="inlineStr">
        <is>
          <t>avverkningsanmälan</t>
        </is>
      </c>
      <c r="C61" t="inlineStr">
        <is>
          <t>Föryngringsavverkning</t>
        </is>
      </c>
      <c r="D61" s="1" t="n">
        <v>45478</v>
      </c>
      <c r="E61" s="1" t="n">
        <v>46306</v>
      </c>
      <c r="F61" t="inlineStr">
        <is>
          <t>STOCKHOLMS LÄN</t>
        </is>
      </c>
      <c r="G61" t="inlineStr">
        <is>
          <t>SIGTUNA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20960-2023</t>
        </is>
      </c>
      <c r="B62" t="inlineStr">
        <is>
          <t>avverkningsanmälan</t>
        </is>
      </c>
      <c r="C62" t="inlineStr">
        <is>
          <t>Föryngringsavverkning</t>
        </is>
      </c>
      <c r="D62" s="1" t="n">
        <v>45061</v>
      </c>
      <c r="E62" s="1" t="n">
        <v>46306</v>
      </c>
      <c r="F62" t="inlineStr">
        <is>
          <t>STOCKHOLMS LÄN</t>
        </is>
      </c>
      <c r="G62" t="inlineStr">
        <is>
          <t>SIGTUNA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28851-2022</t>
        </is>
      </c>
      <c r="B63" t="inlineStr">
        <is>
          <t>avverkningsanmälan</t>
        </is>
      </c>
      <c r="C63" t="inlineStr">
        <is>
          <t>Föryngringsavverkning</t>
        </is>
      </c>
      <c r="D63" s="1" t="n">
        <v>44749</v>
      </c>
      <c r="E63" s="1" t="n">
        <v>46306</v>
      </c>
      <c r="F63" t="inlineStr">
        <is>
          <t>STOCKHOLMS LÄN</t>
        </is>
      </c>
      <c r="G63" t="inlineStr">
        <is>
          <t>SIGTUNA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60934-2023</t>
        </is>
      </c>
      <c r="B64" t="inlineStr">
        <is>
          <t>avverkningsanmälan</t>
        </is>
      </c>
      <c r="C64" t="inlineStr">
        <is>
          <t>Föryngringsavverkning</t>
        </is>
      </c>
      <c r="D64" s="1" t="n">
        <v>45261</v>
      </c>
      <c r="E64" s="1" t="n">
        <v>46306</v>
      </c>
      <c r="F64" t="inlineStr">
        <is>
          <t>STOCKHOLMS LÄN</t>
        </is>
      </c>
      <c r="G64" t="inlineStr">
        <is>
          <t>SIGTUNA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862-2022</t>
        </is>
      </c>
      <c r="B65" t="inlineStr">
        <is>
          <t>avverkningsanmälan</t>
        </is>
      </c>
      <c r="C65" t="inlineStr">
        <is>
          <t>Avverkning för annat ändamål</t>
        </is>
      </c>
      <c r="D65" s="1" t="n">
        <v>44571</v>
      </c>
      <c r="E65" s="1" t="n">
        <v>46306</v>
      </c>
      <c r="F65" t="inlineStr">
        <is>
          <t>STOCKHOLMS LÄN</t>
        </is>
      </c>
      <c r="G65" t="inlineStr">
        <is>
          <t>SIGTUNA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49916-2025</t>
        </is>
      </c>
      <c r="B66" t="inlineStr">
        <is>
          <t>avverkningsanmälan</t>
        </is>
      </c>
      <c r="C66" t="inlineStr">
        <is>
          <t>Föryngringsavverkning</t>
        </is>
      </c>
      <c r="D66" s="1" t="n">
        <v>45940</v>
      </c>
      <c r="E66" s="1" t="n">
        <v>46306</v>
      </c>
      <c r="F66" t="inlineStr">
        <is>
          <t>STOCKHOLMS LÄN</t>
        </is>
      </c>
      <c r="G66" t="inlineStr">
        <is>
          <t>SIGTUNA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24636-2023</t>
        </is>
      </c>
      <c r="B67" t="inlineStr">
        <is>
          <t>avverkningsanmälan</t>
        </is>
      </c>
      <c r="C67" t="inlineStr">
        <is>
          <t>Föryngringsavverkning</t>
        </is>
      </c>
      <c r="D67" s="1" t="n">
        <v>45084</v>
      </c>
      <c r="E67" s="1" t="n">
        <v>46306</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42572-2024</t>
        </is>
      </c>
      <c r="B68" t="inlineStr">
        <is>
          <t>avverkningsanmälan</t>
        </is>
      </c>
      <c r="C68" t="inlineStr">
        <is>
          <t>Föryngringsavverkning</t>
        </is>
      </c>
      <c r="D68" s="1" t="n">
        <v>45565</v>
      </c>
      <c r="E68" s="1" t="n">
        <v>46306</v>
      </c>
      <c r="F68" t="inlineStr">
        <is>
          <t>STOCKHOLMS LÄN</t>
        </is>
      </c>
      <c r="G68" t="inlineStr">
        <is>
          <t>SIGTUNA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273-2025</t>
        </is>
      </c>
      <c r="B69" t="inlineStr">
        <is>
          <t>avverkningsanmälan</t>
        </is>
      </c>
      <c r="C69" t="inlineStr">
        <is>
          <t>Avverkning för annat ändamål</t>
        </is>
      </c>
      <c r="D69" s="1" t="n">
        <v>45653</v>
      </c>
      <c r="E69" s="1" t="n">
        <v>46306</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56796-2022</t>
        </is>
      </c>
      <c r="B70" t="inlineStr">
        <is>
          <t>avverkningsanmälan</t>
        </is>
      </c>
      <c r="C70" t="inlineStr">
        <is>
          <t>Föryngringsavverkning</t>
        </is>
      </c>
      <c r="D70" s="1" t="n">
        <v>44894</v>
      </c>
      <c r="E70" s="1" t="n">
        <v>46306</v>
      </c>
      <c r="F70" t="inlineStr">
        <is>
          <t>STOCKHOLMS LÄN</t>
        </is>
      </c>
      <c r="G70" t="inlineStr">
        <is>
          <t>SIGTUNA</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31695-2022</t>
        </is>
      </c>
      <c r="B71" t="inlineStr">
        <is>
          <t>avverkningsanmälan</t>
        </is>
      </c>
      <c r="C71" t="inlineStr">
        <is>
          <t>Avverkning för att bevara och utveckla /försöksver</t>
        </is>
      </c>
      <c r="D71" s="1" t="n">
        <v>44776</v>
      </c>
      <c r="E71" s="1" t="n">
        <v>46306</v>
      </c>
      <c r="F71" t="inlineStr">
        <is>
          <t>STOCKHOLMS LÄN</t>
        </is>
      </c>
      <c r="G71" t="inlineStr">
        <is>
          <t>SIGTUNA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28681-2025</t>
        </is>
      </c>
      <c r="B72" t="inlineStr">
        <is>
          <t>avverkningsanmälan</t>
        </is>
      </c>
      <c r="C72" t="inlineStr">
        <is>
          <t>Föryngringsavverkning</t>
        </is>
      </c>
      <c r="D72" s="1" t="n">
        <v>45819</v>
      </c>
      <c r="E72" s="1" t="n">
        <v>46306</v>
      </c>
      <c r="F72" t="inlineStr">
        <is>
          <t>STOCKHOLMS LÄN</t>
        </is>
      </c>
      <c r="G72" t="inlineStr">
        <is>
          <t>SIGTUNA</t>
        </is>
      </c>
      <c r="I72" t="n">
        <v>7.5</v>
      </c>
      <c r="J72" t="n">
        <v>0</v>
      </c>
      <c r="K72" t="n">
        <v>0</v>
      </c>
      <c r="L72" t="n">
        <v>0</v>
      </c>
      <c r="M72" t="n">
        <v>0</v>
      </c>
      <c r="N72" t="n">
        <v>0</v>
      </c>
      <c r="O72" t="n">
        <v>0</v>
      </c>
      <c r="P72" t="n">
        <v>0</v>
      </c>
      <c r="Q72" t="n">
        <v>0</v>
      </c>
      <c r="R72" t="n">
        <v>0</v>
      </c>
      <c r="S72" t="n">
        <v>0</v>
      </c>
      <c r="T72" t="n">
        <v>0</v>
      </c>
      <c r="U72" t="n">
        <v>0</v>
      </c>
      <c r="V72" s="2" t="inlineStr"/>
    </row>
    <row r="73" ht="15" customHeight="1">
      <c r="A73" t="inlineStr">
        <is>
          <t>A 59957-2023</t>
        </is>
      </c>
      <c r="B73" t="inlineStr">
        <is>
          <t>avverkningsanmälan</t>
        </is>
      </c>
      <c r="C73" t="inlineStr">
        <is>
          <t>Föryngringsavverkning</t>
        </is>
      </c>
      <c r="D73" s="1" t="n">
        <v>45257</v>
      </c>
      <c r="E73" s="1" t="n">
        <v>46306</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10790-2023</t>
        </is>
      </c>
      <c r="B74" t="inlineStr">
        <is>
          <t>avverkningsanmälan</t>
        </is>
      </c>
      <c r="C74" t="inlineStr">
        <is>
          <t>Föryngringsavverkning</t>
        </is>
      </c>
      <c r="D74" s="1" t="n">
        <v>44989</v>
      </c>
      <c r="E74" s="1" t="n">
        <v>46306</v>
      </c>
      <c r="F74" t="inlineStr">
        <is>
          <t>STOCKHOLMS LÄN</t>
        </is>
      </c>
      <c r="G74" t="inlineStr">
        <is>
          <t>SIGTUNA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25452-2023</t>
        </is>
      </c>
      <c r="B75" t="inlineStr">
        <is>
          <t>avverkningsanmälan</t>
        </is>
      </c>
      <c r="C75" t="inlineStr">
        <is>
          <t>Föryngringsavverkning</t>
        </is>
      </c>
      <c r="D75" s="1" t="n">
        <v>45089</v>
      </c>
      <c r="E75" s="1" t="n">
        <v>46306</v>
      </c>
      <c r="F75" t="inlineStr">
        <is>
          <t>STOCKHOLMS LÄN</t>
        </is>
      </c>
      <c r="G75" t="inlineStr">
        <is>
          <t>SIGTUNA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25459-2023</t>
        </is>
      </c>
      <c r="B76" t="inlineStr">
        <is>
          <t>avverkningsanmälan</t>
        </is>
      </c>
      <c r="C76" t="inlineStr">
        <is>
          <t>Föryngringsavverkning</t>
        </is>
      </c>
      <c r="D76" s="1" t="n">
        <v>45089</v>
      </c>
      <c r="E76" s="1" t="n">
        <v>46306</v>
      </c>
      <c r="F76" t="inlineStr">
        <is>
          <t>STOCKHOLMS LÄN</t>
        </is>
      </c>
      <c r="G76" t="inlineStr">
        <is>
          <t>SIGTUNA</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61937-2021</t>
        </is>
      </c>
      <c r="B77" t="inlineStr">
        <is>
          <t>avverkningsanmälan</t>
        </is>
      </c>
      <c r="C77" t="inlineStr">
        <is>
          <t>Avverkning för annat ändamål</t>
        </is>
      </c>
      <c r="D77" s="1" t="n">
        <v>44502</v>
      </c>
      <c r="E77" s="1" t="n">
        <v>46306</v>
      </c>
      <c r="F77" t="inlineStr">
        <is>
          <t>STOCKHOLMS LÄN</t>
        </is>
      </c>
      <c r="G77" t="inlineStr">
        <is>
          <t>SIGTUNA</t>
        </is>
      </c>
      <c r="I77" t="n">
        <v>14.7</v>
      </c>
      <c r="J77" t="n">
        <v>0</v>
      </c>
      <c r="K77" t="n">
        <v>0</v>
      </c>
      <c r="L77" t="n">
        <v>0</v>
      </c>
      <c r="M77" t="n">
        <v>0</v>
      </c>
      <c r="N77" t="n">
        <v>0</v>
      </c>
      <c r="O77" t="n">
        <v>0</v>
      </c>
      <c r="P77" t="n">
        <v>0</v>
      </c>
      <c r="Q77" t="n">
        <v>0</v>
      </c>
      <c r="R77" t="n">
        <v>0</v>
      </c>
      <c r="S77" t="n">
        <v>0</v>
      </c>
      <c r="T77" t="n">
        <v>0</v>
      </c>
      <c r="U77" t="n">
        <v>0</v>
      </c>
      <c r="V77" s="2" t="inlineStr"/>
    </row>
    <row r="78" ht="15" customHeight="1">
      <c r="A78" t="inlineStr">
        <is>
          <t>A 2496-2024</t>
        </is>
      </c>
      <c r="B78" t="inlineStr">
        <is>
          <t>avverkningsanmälan</t>
        </is>
      </c>
      <c r="C78" t="inlineStr">
        <is>
          <t>Föryngringsavverkning</t>
        </is>
      </c>
      <c r="D78" s="1" t="n">
        <v>45313</v>
      </c>
      <c r="E78" s="1" t="n">
        <v>46306</v>
      </c>
      <c r="F78" t="inlineStr">
        <is>
          <t>STOCKHOLMS LÄN</t>
        </is>
      </c>
      <c r="G78" t="inlineStr">
        <is>
          <t>SIGTUNA</t>
        </is>
      </c>
      <c r="H78" t="inlineStr">
        <is>
          <t>Kommuner</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35966-2024</t>
        </is>
      </c>
      <c r="B79" t="inlineStr">
        <is>
          <t>avverkningsanmälan</t>
        </is>
      </c>
      <c r="C79" t="inlineStr">
        <is>
          <t>Föryngringsavverkning</t>
        </is>
      </c>
      <c r="D79" s="1" t="n">
        <v>45533</v>
      </c>
      <c r="E79" s="1" t="n">
        <v>46306</v>
      </c>
      <c r="F79" t="inlineStr">
        <is>
          <t>STOCKHOLMS LÄN</t>
        </is>
      </c>
      <c r="G79" t="inlineStr">
        <is>
          <t>SIGTUNA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36179-2022</t>
        </is>
      </c>
      <c r="B80" t="inlineStr">
        <is>
          <t>avverkningsanmälan</t>
        </is>
      </c>
      <c r="C80" t="inlineStr">
        <is>
          <t>Föryngringsavverkning</t>
        </is>
      </c>
      <c r="D80" s="1" t="n">
        <v>44803</v>
      </c>
      <c r="E80" s="1" t="n">
        <v>46306</v>
      </c>
      <c r="F80" t="inlineStr">
        <is>
          <t>STOCKHOLMS LÄN</t>
        </is>
      </c>
      <c r="G80" t="inlineStr">
        <is>
          <t>SIGTUNA</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36181-2022</t>
        </is>
      </c>
      <c r="B81" t="inlineStr">
        <is>
          <t>avverkningsanmälan</t>
        </is>
      </c>
      <c r="C81" t="inlineStr">
        <is>
          <t>Föryngringsavverkning</t>
        </is>
      </c>
      <c r="D81" s="1" t="n">
        <v>44803</v>
      </c>
      <c r="E81" s="1" t="n">
        <v>46306</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6826-2025</t>
        </is>
      </c>
      <c r="B82" t="inlineStr">
        <is>
          <t>avverkningsanmälan</t>
        </is>
      </c>
      <c r="C82" t="inlineStr">
        <is>
          <t>Avverkning för annat ändamål</t>
        </is>
      </c>
      <c r="D82" s="1" t="n">
        <v>45700</v>
      </c>
      <c r="E82" s="1" t="n">
        <v>46306</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60935-2023</t>
        </is>
      </c>
      <c r="B83" t="inlineStr">
        <is>
          <t>avverkningsanmälan</t>
        </is>
      </c>
      <c r="C83" t="inlineStr">
        <is>
          <t>Föryngringsavverkning</t>
        </is>
      </c>
      <c r="D83" s="1" t="n">
        <v>45261</v>
      </c>
      <c r="E83" s="1" t="n">
        <v>46306</v>
      </c>
      <c r="F83" t="inlineStr">
        <is>
          <t>STOCKHOLMS LÄN</t>
        </is>
      </c>
      <c r="G83" t="inlineStr">
        <is>
          <t>SIGTUNA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46306</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60922-2023</t>
        </is>
      </c>
      <c r="B85" t="inlineStr">
        <is>
          <t>avverkningsanmälan</t>
        </is>
      </c>
      <c r="C85" t="inlineStr">
        <is>
          <t>Föryngringsavverkning</t>
        </is>
      </c>
      <c r="D85" s="1" t="n">
        <v>45261</v>
      </c>
      <c r="E85" s="1" t="n">
        <v>46306</v>
      </c>
      <c r="F85" t="inlineStr">
        <is>
          <t>STOCKHOLMS LÄN</t>
        </is>
      </c>
      <c r="G85" t="inlineStr">
        <is>
          <t>SIGTUNA</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12931-2022</t>
        </is>
      </c>
      <c r="B86" t="inlineStr">
        <is>
          <t>avverkningsanmälan</t>
        </is>
      </c>
      <c r="C86" t="inlineStr">
        <is>
          <t>Föryngringsavverkning</t>
        </is>
      </c>
      <c r="D86" s="1" t="n">
        <v>44642</v>
      </c>
      <c r="E86" s="1" t="n">
        <v>46306</v>
      </c>
      <c r="F86" t="inlineStr">
        <is>
          <t>STOCKHOLMS LÄN</t>
        </is>
      </c>
      <c r="G86" t="inlineStr">
        <is>
          <t>SIGTUNA</t>
        </is>
      </c>
      <c r="H86" t="inlineStr">
        <is>
          <t>Kyrkan</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3673-2026</t>
        </is>
      </c>
      <c r="B87" t="inlineStr">
        <is>
          <t>avverkningsanmälan</t>
        </is>
      </c>
      <c r="C87" t="inlineStr">
        <is>
          <t>Föryngringsavverkning</t>
        </is>
      </c>
      <c r="D87" s="1" t="n">
        <v>46043</v>
      </c>
      <c r="E87" s="1" t="n">
        <v>46306</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4788-2026</t>
        </is>
      </c>
      <c r="B88" t="inlineStr">
        <is>
          <t>avverkningsanmälan</t>
        </is>
      </c>
      <c r="C88" t="inlineStr">
        <is>
          <t>Föryngringsavverkning</t>
        </is>
      </c>
      <c r="D88" s="1" t="n">
        <v>46048</v>
      </c>
      <c r="E88" s="1" t="n">
        <v>46306</v>
      </c>
      <c r="F88" t="inlineStr">
        <is>
          <t>STOCKHOLMS LÄN</t>
        </is>
      </c>
      <c r="G88" t="inlineStr">
        <is>
          <t>SIGTUNA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41693-2022</t>
        </is>
      </c>
      <c r="B89" t="inlineStr">
        <is>
          <t>avverkningsanmälan</t>
        </is>
      </c>
      <c r="C89" t="inlineStr">
        <is>
          <t>Föryngringsavverkning</t>
        </is>
      </c>
      <c r="D89" s="1" t="n">
        <v>44827</v>
      </c>
      <c r="E89" s="1" t="n">
        <v>46306</v>
      </c>
      <c r="F89" t="inlineStr">
        <is>
          <t>STOCKHOLMS LÄN</t>
        </is>
      </c>
      <c r="G89" t="inlineStr">
        <is>
          <t>SIGTUNA</t>
        </is>
      </c>
      <c r="H89" t="inlineStr">
        <is>
          <t>Allmännings- och besparingsskogar</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9856-2024</t>
        </is>
      </c>
      <c r="B90" t="inlineStr">
        <is>
          <t>avverkningsanmälan</t>
        </is>
      </c>
      <c r="C90" t="inlineStr">
        <is>
          <t>Avverkning för annat ändamål</t>
        </is>
      </c>
      <c r="D90" s="1" t="n">
        <v>45363</v>
      </c>
      <c r="E90" s="1" t="n">
        <v>46306</v>
      </c>
      <c r="F90" t="inlineStr">
        <is>
          <t>STOCKHOLMS LÄN</t>
        </is>
      </c>
      <c r="G90" t="inlineStr">
        <is>
          <t>SIGTUNA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22913-2026</t>
        </is>
      </c>
      <c r="B91" t="inlineStr">
        <is>
          <t>avverkningsanmälan</t>
        </is>
      </c>
      <c r="C91" t="inlineStr">
        <is>
          <t>Föryngringsavverkning</t>
        </is>
      </c>
      <c r="D91" s="1" t="n">
        <v>46159</v>
      </c>
      <c r="E91" s="1" t="n">
        <v>46306</v>
      </c>
      <c r="F91" t="inlineStr">
        <is>
          <t>STOCKHOLMS LÄN</t>
        </is>
      </c>
      <c r="G91" t="inlineStr">
        <is>
          <t>SIGTUNA</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12052-2026</t>
        </is>
      </c>
      <c r="B92" t="inlineStr">
        <is>
          <t>avverkningsanmälan</t>
        </is>
      </c>
      <c r="C92" t="inlineStr">
        <is>
          <t>Föryngringsavverkning</t>
        </is>
      </c>
      <c r="D92" s="1" t="n">
        <v>46086</v>
      </c>
      <c r="E92" s="1" t="n">
        <v>46306</v>
      </c>
      <c r="F92" t="inlineStr">
        <is>
          <t>STOCKHOLMS LÄN</t>
        </is>
      </c>
      <c r="G92" t="inlineStr">
        <is>
          <t>SIGTUNA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13662-2026</t>
        </is>
      </c>
      <c r="B93" t="inlineStr">
        <is>
          <t>avverkningsanmälan</t>
        </is>
      </c>
      <c r="C93" t="inlineStr">
        <is>
          <t>Föryngringsavverkning</t>
        </is>
      </c>
      <c r="D93" s="1" t="n">
        <v>46097</v>
      </c>
      <c r="E93" s="1" t="n">
        <v>46306</v>
      </c>
      <c r="F93" t="inlineStr">
        <is>
          <t>STOCKHOLMS LÄN</t>
        </is>
      </c>
      <c r="G93" t="inlineStr">
        <is>
          <t>SIGTUNA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32424-2023</t>
        </is>
      </c>
      <c r="B94" t="inlineStr">
        <is>
          <t>avverkningsanmälan</t>
        </is>
      </c>
      <c r="C94" t="inlineStr">
        <is>
          <t>Föryngringsavverkning</t>
        </is>
      </c>
      <c r="D94" s="1" t="n">
        <v>45110</v>
      </c>
      <c r="E94" s="1" t="n">
        <v>46306</v>
      </c>
      <c r="F94" t="inlineStr">
        <is>
          <t>STOCKHOLMS LÄN</t>
        </is>
      </c>
      <c r="G94" t="inlineStr">
        <is>
          <t>SIGTUNA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32426-2023</t>
        </is>
      </c>
      <c r="B95" t="inlineStr">
        <is>
          <t>avverkningsanmälan</t>
        </is>
      </c>
      <c r="C95" t="inlineStr">
        <is>
          <t>Föryngringsavverkning</t>
        </is>
      </c>
      <c r="D95" s="1" t="n">
        <v>45110</v>
      </c>
      <c r="E95" s="1" t="n">
        <v>46306</v>
      </c>
      <c r="F95" t="inlineStr">
        <is>
          <t>STOCKHOLMS LÄN</t>
        </is>
      </c>
      <c r="G95" t="inlineStr">
        <is>
          <t>SIGTUNA</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37345-2026</t>
        </is>
      </c>
      <c r="B96" t="inlineStr">
        <is>
          <t>avverkningsanmälan</t>
        </is>
      </c>
      <c r="C96" t="inlineStr">
        <is>
          <t>Föryngringsavverkning</t>
        </is>
      </c>
      <c r="D96" s="1" t="n">
        <v>46275</v>
      </c>
      <c r="E96" s="1" t="n">
        <v>46306</v>
      </c>
      <c r="F96" t="inlineStr">
        <is>
          <t>STOCKHOLMS LÄN</t>
        </is>
      </c>
      <c r="G96" t="inlineStr">
        <is>
          <t>SIGTUNA</t>
        </is>
      </c>
      <c r="I96" t="n">
        <v>1</v>
      </c>
      <c r="J96" t="n">
        <v>0</v>
      </c>
      <c r="K96" t="n">
        <v>0</v>
      </c>
      <c r="L96" t="n">
        <v>0</v>
      </c>
      <c r="M96" t="n">
        <v>0</v>
      </c>
      <c r="N96" t="n">
        <v>0</v>
      </c>
      <c r="O96" t="n">
        <v>0</v>
      </c>
      <c r="P96" t="n">
        <v>0</v>
      </c>
      <c r="Q96" t="n">
        <v>0</v>
      </c>
      <c r="R96" t="n">
        <v>0</v>
      </c>
      <c r="S96" t="n">
        <v>0</v>
      </c>
      <c r="T96" t="n">
        <v>0</v>
      </c>
      <c r="U96" t="n">
        <v>0</v>
      </c>
      <c r="V96" s="2" t="inlineStr"/>
    </row>
    <row r="97">
      <c r="A97" t="inlineStr">
        <is>
          <t>A 38695-2026</t>
        </is>
      </c>
      <c r="B97" t="inlineStr">
        <is>
          <t>avverkningsanmälan</t>
        </is>
      </c>
      <c r="C97" t="inlineStr">
        <is>
          <t>Föryngringsavverkning</t>
        </is>
      </c>
      <c r="D97" s="1" t="n">
        <v>46283</v>
      </c>
      <c r="E97" s="1" t="n">
        <v>46306</v>
      </c>
      <c r="F97" t="inlineStr">
        <is>
          <t>STOCKHOLMS LÄN</t>
        </is>
      </c>
      <c r="G97" t="inlineStr">
        <is>
          <t>SIGTUNA</t>
        </is>
      </c>
      <c r="I97" t="n">
        <v>2.3</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2026-10-11T02:02:46Z</dcterms:created>
  <dcterms:modified xmlns:dcterms="http://purl.org/dc/terms/" xmlns:xsi="http://www.w3.org/2001/XMLSchema-instance" xsi:type="dcterms:W3CDTF">2026-10-11T02:02:46Z</dcterms:modified>
</cp:coreProperties>
</file>
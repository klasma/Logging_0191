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46229</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46229</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46229</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46229</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46229</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46229</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46229</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46229</v>
      </c>
      <c r="F9" t="inlineStr">
        <is>
          <t>STOCKHOLMS LÄN</t>
        </is>
      </c>
      <c r="G9" t="inlineStr">
        <is>
          <t>SIGTUNA</t>
        </is>
      </c>
      <c r="I9" t="n">
        <v>32.8</v>
      </c>
      <c r="J9" t="n">
        <v>3</v>
      </c>
      <c r="K9" t="n">
        <v>0</v>
      </c>
      <c r="L9" t="n">
        <v>1</v>
      </c>
      <c r="M9" t="n">
        <v>0</v>
      </c>
      <c r="N9" t="n">
        <v>0</v>
      </c>
      <c r="O9" t="n">
        <v>0</v>
      </c>
      <c r="P9" t="n">
        <v>0</v>
      </c>
      <c r="Q9" t="n">
        <v>1</v>
      </c>
      <c r="R9" t="n">
        <v>0</v>
      </c>
      <c r="S9" t="n">
        <v>4</v>
      </c>
      <c r="T9" t="n">
        <v>37</v>
      </c>
      <c r="U9" t="n">
        <v>37</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46229</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46229</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46229</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46229</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46229</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46229</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46229</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6893-2026</t>
        </is>
      </c>
      <c r="B17" t="inlineStr">
        <is>
          <t>avverkningsanmälan</t>
        </is>
      </c>
      <c r="C17" t="inlineStr">
        <is>
          <t>Föryngringsavverkning</t>
        </is>
      </c>
      <c r="D17" s="1" t="n">
        <v>46057</v>
      </c>
      <c r="E17" s="1" t="n">
        <v>46229</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t="n">
        <v>0</v>
      </c>
      <c r="V17" s="2" t="inlineStr">
        <is>
          <t>Gullklöver</t>
        </is>
      </c>
      <c r="W17">
        <f>HYPERLINK("https://klasma.github.io/Logging_0191/artfynd/A 6893-2026 artfynd.xlsx", "A 6893-2026")</f>
        <v/>
      </c>
      <c r="X17">
        <f>HYPERLINK("https://klasma.github.io/Logging_0191/kartor/A 6893-2026 karta.png", "A 6893-2026")</f>
        <v/>
      </c>
      <c r="Y17">
        <f>HYPERLINK("https://klasma.github.io/Logging_0191/kartor_geotiff/A 6893-2026 georefererad karta.tif", "A 6893-2026")</f>
        <v/>
      </c>
      <c r="AA17">
        <f>HYPERLINK("https://klasma.github.io/Logging_0191/klagomål/A 6893-2026 FSC-klagomål.docx", "A 6893-2026")</f>
        <v/>
      </c>
      <c r="AB17">
        <f>HYPERLINK("https://klasma.github.io/Logging_0191/klagomålsmail/A 6893-2026 FSC-klagomål mail.docx", "A 6893-2026")</f>
        <v/>
      </c>
      <c r="AC17">
        <f>HYPERLINK("https://klasma.github.io/Logging_0191/tillsyn/A 6893-2026 tillsynsbegäran.docx", "A 6893-2026")</f>
        <v/>
      </c>
      <c r="AD17">
        <f>HYPERLINK("https://klasma.github.io/Logging_0191/tillsynsmail/A 6893-2026 tillsynsbegäran mail.docx", "A 6893-2026")</f>
        <v/>
      </c>
    </row>
    <row r="18" ht="15" customHeight="1">
      <c r="A18" t="inlineStr">
        <is>
          <t>A 39716-2023</t>
        </is>
      </c>
      <c r="B18" t="inlineStr">
        <is>
          <t>avverkningsanmälan</t>
        </is>
      </c>
      <c r="C18" t="inlineStr">
        <is>
          <t>Föryngringsavverkning</t>
        </is>
      </c>
      <c r="D18" s="1" t="n">
        <v>45166</v>
      </c>
      <c r="E18" s="1" t="n">
        <v>46229</v>
      </c>
      <c r="F18" t="inlineStr">
        <is>
          <t>STOCKHOLMS LÄN</t>
        </is>
      </c>
      <c r="G18" t="inlineStr">
        <is>
          <t>SIGTUNA</t>
        </is>
      </c>
      <c r="I18" t="n">
        <v>3.5</v>
      </c>
      <c r="J18" t="n">
        <v>1</v>
      </c>
      <c r="K18" t="n">
        <v>0</v>
      </c>
      <c r="L18" t="n">
        <v>0</v>
      </c>
      <c r="M18" t="n">
        <v>0</v>
      </c>
      <c r="N18" t="n">
        <v>1</v>
      </c>
      <c r="O18" t="n">
        <v>0</v>
      </c>
      <c r="P18" t="n">
        <v>0</v>
      </c>
      <c r="Q18" t="n">
        <v>1</v>
      </c>
      <c r="R18" t="n">
        <v>1</v>
      </c>
      <c r="S18" t="n">
        <v>1</v>
      </c>
      <c r="T18" t="n">
        <v>1</v>
      </c>
      <c r="U18" t="n">
        <v>0</v>
      </c>
      <c r="V18" s="2" t="inlineStr">
        <is>
          <t>Hornuggla</t>
        </is>
      </c>
      <c r="W18">
        <f>HYPERLINK("https://klasma.github.io/Logging_0191/artfynd/A 39716-2023 artfynd.xlsx", "A 39716-2023")</f>
        <v/>
      </c>
      <c r="X18">
        <f>HYPERLINK("https://klasma.github.io/Logging_0191/kartor/A 39716-2023 karta.png", "A 39716-2023")</f>
        <v/>
      </c>
      <c r="Y18">
        <f>HYPERLINK("https://klasma.github.io/Logging_0191/kartor_geotiff/A 39716-2023 georefererad karta.tif", "A 39716-2023")</f>
        <v/>
      </c>
      <c r="AA18">
        <f>HYPERLINK("https://klasma.github.io/Logging_0191/klagomål/A 39716-2023 FSC-klagomål.docx", "A 39716-2023")</f>
        <v/>
      </c>
      <c r="AB18">
        <f>HYPERLINK("https://klasma.github.io/Logging_0191/klagomålsmail/A 39716-2023 FSC-klagomål mail.docx", "A 39716-2023")</f>
        <v/>
      </c>
      <c r="AC18">
        <f>HYPERLINK("https://klasma.github.io/Logging_0191/tillsyn/A 39716-2023 tillsynsbegäran.docx", "A 39716-2023")</f>
        <v/>
      </c>
      <c r="AD18">
        <f>HYPERLINK("https://klasma.github.io/Logging_0191/tillsynsmail/A 39716-2023 tillsynsbegäran mail.docx", "A 39716-2023")</f>
        <v/>
      </c>
      <c r="AE18">
        <f>HYPERLINK("https://klasma.github.io/Logging_0191/fåglar/A 39716-2023 prioriterade fågelarter.docx", "A 39716-2023")</f>
        <v/>
      </c>
    </row>
    <row r="19" ht="15" customHeight="1">
      <c r="A19" t="inlineStr">
        <is>
          <t>A 33751-2024</t>
        </is>
      </c>
      <c r="B19" t="inlineStr">
        <is>
          <t>avverkningsanmälan</t>
        </is>
      </c>
      <c r="C19" t="inlineStr">
        <is>
          <t>Avverkning för annat ändamål</t>
        </is>
      </c>
      <c r="D19" s="1" t="n">
        <v>45520</v>
      </c>
      <c r="E19" s="1" t="n">
        <v>46229</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46757-2023</t>
        </is>
      </c>
      <c r="B20" t="inlineStr">
        <is>
          <t>avverkningsanmälan</t>
        </is>
      </c>
      <c r="C20" t="inlineStr">
        <is>
          <t>Avverkning för annat ändamål</t>
        </is>
      </c>
      <c r="D20" s="1" t="n">
        <v>45198</v>
      </c>
      <c r="E20" s="1" t="n">
        <v>46229</v>
      </c>
      <c r="F20" t="inlineStr">
        <is>
          <t>STOCKHOLMS LÄN</t>
        </is>
      </c>
      <c r="G20" t="inlineStr">
        <is>
          <t>SIGTUNA</t>
        </is>
      </c>
      <c r="I20" t="n">
        <v>5.3</v>
      </c>
      <c r="J20" t="n">
        <v>1</v>
      </c>
      <c r="K20" t="n">
        <v>0</v>
      </c>
      <c r="L20" t="n">
        <v>1</v>
      </c>
      <c r="M20" t="n">
        <v>0</v>
      </c>
      <c r="N20" t="n">
        <v>0</v>
      </c>
      <c r="O20" t="n">
        <v>0</v>
      </c>
      <c r="P20" t="n">
        <v>0</v>
      </c>
      <c r="Q20" t="n">
        <v>1</v>
      </c>
      <c r="R20" t="n">
        <v>0</v>
      </c>
      <c r="S20" t="n">
        <v>1</v>
      </c>
      <c r="T20" t="n">
        <v>1</v>
      </c>
      <c r="U20" t="n">
        <v>0</v>
      </c>
      <c r="V20" s="2" t="inlineStr">
        <is>
          <t>Gulsparv</t>
        </is>
      </c>
      <c r="W20">
        <f>HYPERLINK("https://klasma.github.io/Logging_0191/artfynd/A 46757-2023 artfynd.xlsx", "A 46757-2023")</f>
        <v/>
      </c>
      <c r="X20">
        <f>HYPERLINK("https://klasma.github.io/Logging_0191/kartor/A 46757-2023 karta.png", "A 46757-2023")</f>
        <v/>
      </c>
      <c r="Y20">
        <f>HYPERLINK("https://klasma.github.io/Logging_0191/kartor_geotiff/A 46757-2023 georefererad karta.tif", "A 46757-2023")</f>
        <v/>
      </c>
      <c r="AA20">
        <f>HYPERLINK("https://klasma.github.io/Logging_0191/klagomål/A 46757-2023 FSC-klagomål.docx", "A 46757-2023")</f>
        <v/>
      </c>
      <c r="AB20">
        <f>HYPERLINK("https://klasma.github.io/Logging_0191/klagomålsmail/A 46757-2023 FSC-klagomål mail.docx", "A 46757-2023")</f>
        <v/>
      </c>
      <c r="AC20">
        <f>HYPERLINK("https://klasma.github.io/Logging_0191/tillsyn/A 46757-2023 tillsynsbegäran.docx", "A 46757-2023")</f>
        <v/>
      </c>
      <c r="AD20">
        <f>HYPERLINK("https://klasma.github.io/Logging_0191/tillsynsmail/A 46757-2023 tillsynsbegäran mail.docx", "A 46757-2023")</f>
        <v/>
      </c>
      <c r="AE20">
        <f>HYPERLINK("https://klasma.github.io/Logging_0191/fåglar/A 46757-2023 prioriterade fågelarter.docx", "A 46757-2023")</f>
        <v/>
      </c>
    </row>
    <row r="21" ht="15" customHeight="1">
      <c r="A21" t="inlineStr">
        <is>
          <t>A 15452-2023</t>
        </is>
      </c>
      <c r="B21" t="inlineStr">
        <is>
          <t>avverkningsanmälan</t>
        </is>
      </c>
      <c r="C21" t="inlineStr">
        <is>
          <t>Avverkning för annat ändamål</t>
        </is>
      </c>
      <c r="D21" s="1" t="n">
        <v>45020</v>
      </c>
      <c r="E21" s="1" t="n">
        <v>46229</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46229</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46229</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46229</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46229</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46229</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46229</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46229</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49592-2023</t>
        </is>
      </c>
      <c r="B29" t="inlineStr">
        <is>
          <t>avverkningsanmälan</t>
        </is>
      </c>
      <c r="C29" t="inlineStr">
        <is>
          <t>Föryngringsavverkning</t>
        </is>
      </c>
      <c r="D29" s="1" t="n">
        <v>45211</v>
      </c>
      <c r="E29" s="1" t="n">
        <v>46229</v>
      </c>
      <c r="F29" t="inlineStr">
        <is>
          <t>STOCKHOLMS LÄN</t>
        </is>
      </c>
      <c r="G29" t="inlineStr">
        <is>
          <t>SIGTUNA</t>
        </is>
      </c>
      <c r="I29" t="n">
        <v>0.5</v>
      </c>
      <c r="J29" t="n">
        <v>0</v>
      </c>
      <c r="K29" t="n">
        <v>0</v>
      </c>
      <c r="L29" t="n">
        <v>0</v>
      </c>
      <c r="M29" t="n">
        <v>0</v>
      </c>
      <c r="N29" t="n">
        <v>0</v>
      </c>
      <c r="O29" t="n">
        <v>0</v>
      </c>
      <c r="P29" t="n">
        <v>0</v>
      </c>
      <c r="Q29" t="n">
        <v>0</v>
      </c>
      <c r="R29" t="n">
        <v>0</v>
      </c>
      <c r="S29" t="n">
        <v>0</v>
      </c>
      <c r="T29" t="n">
        <v>0</v>
      </c>
      <c r="U29" t="n">
        <v>0</v>
      </c>
      <c r="V29" s="2" t="inlineStr"/>
    </row>
    <row r="30" ht="15" customHeight="1">
      <c r="A30" t="inlineStr">
        <is>
          <t>A 6826-2025</t>
        </is>
      </c>
      <c r="B30" t="inlineStr">
        <is>
          <t>avverkningsanmälan</t>
        </is>
      </c>
      <c r="C30" t="inlineStr">
        <is>
          <t>Avverkning för annat ändamål</t>
        </is>
      </c>
      <c r="D30" s="1" t="n">
        <v>45700</v>
      </c>
      <c r="E30" s="1" t="n">
        <v>46229</v>
      </c>
      <c r="F30" t="inlineStr">
        <is>
          <t>STOCKHOLMS LÄN</t>
        </is>
      </c>
      <c r="G30" t="inlineStr">
        <is>
          <t>SIGTUNA</t>
        </is>
      </c>
      <c r="I30" t="n">
        <v>1.1</v>
      </c>
      <c r="J30" t="n">
        <v>0</v>
      </c>
      <c r="K30" t="n">
        <v>0</v>
      </c>
      <c r="L30" t="n">
        <v>0</v>
      </c>
      <c r="M30" t="n">
        <v>0</v>
      </c>
      <c r="N30" t="n">
        <v>0</v>
      </c>
      <c r="O30" t="n">
        <v>0</v>
      </c>
      <c r="P30" t="n">
        <v>0</v>
      </c>
      <c r="Q30" t="n">
        <v>0</v>
      </c>
      <c r="R30" t="n">
        <v>0</v>
      </c>
      <c r="S30" t="n">
        <v>0</v>
      </c>
      <c r="T30" t="n">
        <v>0</v>
      </c>
      <c r="U30" t="n">
        <v>0</v>
      </c>
      <c r="V30" s="2" t="inlineStr"/>
    </row>
    <row r="31" ht="15" customHeight="1">
      <c r="A31" t="inlineStr">
        <is>
          <t>A 25459-2023</t>
        </is>
      </c>
      <c r="B31" t="inlineStr">
        <is>
          <t>avverkningsanmälan</t>
        </is>
      </c>
      <c r="C31" t="inlineStr">
        <is>
          <t>Föryngringsavverkning</t>
        </is>
      </c>
      <c r="D31" s="1" t="n">
        <v>45089</v>
      </c>
      <c r="E31" s="1" t="n">
        <v>46229</v>
      </c>
      <c r="F31" t="inlineStr">
        <is>
          <t>STOCKHOLMS LÄN</t>
        </is>
      </c>
      <c r="G31" t="inlineStr">
        <is>
          <t>SIGTUNA</t>
        </is>
      </c>
      <c r="H31" t="inlineStr">
        <is>
          <t>Sveaskog</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37392-2024</t>
        </is>
      </c>
      <c r="B32" t="inlineStr">
        <is>
          <t>avverkningsanmälan</t>
        </is>
      </c>
      <c r="C32" t="inlineStr">
        <is>
          <t>Föryngringsavverkning</t>
        </is>
      </c>
      <c r="D32" s="1" t="n">
        <v>45540</v>
      </c>
      <c r="E32" s="1" t="n">
        <v>46229</v>
      </c>
      <c r="F32" t="inlineStr">
        <is>
          <t>STOCKHOLMS LÄN</t>
        </is>
      </c>
      <c r="G32" t="inlineStr">
        <is>
          <t>SIGTUNA</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24636-2023</t>
        </is>
      </c>
      <c r="B33" t="inlineStr">
        <is>
          <t>avverkningsanmälan</t>
        </is>
      </c>
      <c r="C33" t="inlineStr">
        <is>
          <t>Föryngringsavverkning</t>
        </is>
      </c>
      <c r="D33" s="1" t="n">
        <v>45084</v>
      </c>
      <c r="E33" s="1" t="n">
        <v>46229</v>
      </c>
      <c r="F33" t="inlineStr">
        <is>
          <t>STOCKHOLMS LÄN</t>
        </is>
      </c>
      <c r="G33" t="inlineStr">
        <is>
          <t>SIGTUNA</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10790-2023</t>
        </is>
      </c>
      <c r="B34" t="inlineStr">
        <is>
          <t>avverkningsanmälan</t>
        </is>
      </c>
      <c r="C34" t="inlineStr">
        <is>
          <t>Föryngringsavverkning</t>
        </is>
      </c>
      <c r="D34" s="1" t="n">
        <v>44989</v>
      </c>
      <c r="E34" s="1" t="n">
        <v>46229</v>
      </c>
      <c r="F34" t="inlineStr">
        <is>
          <t>STOCKHOLMS LÄN</t>
        </is>
      </c>
      <c r="G34" t="inlineStr">
        <is>
          <t>SIGTUNA</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24967-2024</t>
        </is>
      </c>
      <c r="B35" t="inlineStr">
        <is>
          <t>avverkningsanmälan</t>
        </is>
      </c>
      <c r="C35" t="inlineStr">
        <is>
          <t>Föryngringsavverkning</t>
        </is>
      </c>
      <c r="D35" s="1" t="n">
        <v>45461</v>
      </c>
      <c r="E35" s="1" t="n">
        <v>46229</v>
      </c>
      <c r="F35" t="inlineStr">
        <is>
          <t>STOCKHOLMS LÄN</t>
        </is>
      </c>
      <c r="G35" t="inlineStr">
        <is>
          <t>SIGTUNA</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862-2022</t>
        </is>
      </c>
      <c r="B36" t="inlineStr">
        <is>
          <t>avverkningsanmälan</t>
        </is>
      </c>
      <c r="C36" t="inlineStr">
        <is>
          <t>Avverkning för annat ändamål</t>
        </is>
      </c>
      <c r="D36" s="1" t="n">
        <v>44571</v>
      </c>
      <c r="E36" s="1" t="n">
        <v>46229</v>
      </c>
      <c r="F36" t="inlineStr">
        <is>
          <t>STOCKHOLMS LÄN</t>
        </is>
      </c>
      <c r="G36" t="inlineStr">
        <is>
          <t>SIGTUNA</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41693-2022</t>
        </is>
      </c>
      <c r="B37" t="inlineStr">
        <is>
          <t>avverkningsanmälan</t>
        </is>
      </c>
      <c r="C37" t="inlineStr">
        <is>
          <t>Föryngringsavverkning</t>
        </is>
      </c>
      <c r="D37" s="1" t="n">
        <v>44827</v>
      </c>
      <c r="E37" s="1" t="n">
        <v>46229</v>
      </c>
      <c r="F37" t="inlineStr">
        <is>
          <t>STOCKHOLMS LÄN</t>
        </is>
      </c>
      <c r="G37" t="inlineStr">
        <is>
          <t>SIGTUNA</t>
        </is>
      </c>
      <c r="H37" t="inlineStr">
        <is>
          <t>Allmännings- och besparingsskogar</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12931-2022</t>
        </is>
      </c>
      <c r="B38" t="inlineStr">
        <is>
          <t>avverkningsanmälan</t>
        </is>
      </c>
      <c r="C38" t="inlineStr">
        <is>
          <t>Föryngringsavverkning</t>
        </is>
      </c>
      <c r="D38" s="1" t="n">
        <v>44642</v>
      </c>
      <c r="E38" s="1" t="n">
        <v>46229</v>
      </c>
      <c r="F38" t="inlineStr">
        <is>
          <t>STOCKHOLMS LÄN</t>
        </is>
      </c>
      <c r="G38" t="inlineStr">
        <is>
          <t>SIGTUNA</t>
        </is>
      </c>
      <c r="H38" t="inlineStr">
        <is>
          <t>Kyrkan</t>
        </is>
      </c>
      <c r="I38" t="n">
        <v>1.8</v>
      </c>
      <c r="J38" t="n">
        <v>0</v>
      </c>
      <c r="K38" t="n">
        <v>0</v>
      </c>
      <c r="L38" t="n">
        <v>0</v>
      </c>
      <c r="M38" t="n">
        <v>0</v>
      </c>
      <c r="N38" t="n">
        <v>0</v>
      </c>
      <c r="O38" t="n">
        <v>0</v>
      </c>
      <c r="P38" t="n">
        <v>0</v>
      </c>
      <c r="Q38" t="n">
        <v>0</v>
      </c>
      <c r="R38" t="n">
        <v>0</v>
      </c>
      <c r="S38" t="n">
        <v>0</v>
      </c>
      <c r="T38" t="n">
        <v>0</v>
      </c>
      <c r="U38" t="n">
        <v>0</v>
      </c>
      <c r="V38" s="2" t="inlineStr"/>
    </row>
    <row r="39" ht="15" customHeight="1">
      <c r="A39" t="inlineStr">
        <is>
          <t>A 74170-2021</t>
        </is>
      </c>
      <c r="B39" t="inlineStr">
        <is>
          <t>avverkningsanmälan</t>
        </is>
      </c>
      <c r="C39" t="inlineStr">
        <is>
          <t>Föryngringsavverkning</t>
        </is>
      </c>
      <c r="D39" s="1" t="n">
        <v>44557</v>
      </c>
      <c r="E39" s="1" t="n">
        <v>46229</v>
      </c>
      <c r="F39" t="inlineStr">
        <is>
          <t>STOCKHOLMS LÄN</t>
        </is>
      </c>
      <c r="G39" t="inlineStr">
        <is>
          <t>SIGTUNA</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28752-2024</t>
        </is>
      </c>
      <c r="B40" t="inlineStr">
        <is>
          <t>avverkningsanmälan</t>
        </is>
      </c>
      <c r="C40" t="inlineStr">
        <is>
          <t>Föryngringsavverkning</t>
        </is>
      </c>
      <c r="D40" s="1" t="n">
        <v>45478</v>
      </c>
      <c r="E40" s="1" t="n">
        <v>46229</v>
      </c>
      <c r="F40" t="inlineStr">
        <is>
          <t>STOCKHOLMS LÄN</t>
        </is>
      </c>
      <c r="G40" t="inlineStr">
        <is>
          <t>SIGTUNA</t>
        </is>
      </c>
      <c r="I40" t="n">
        <v>1.7</v>
      </c>
      <c r="J40" t="n">
        <v>0</v>
      </c>
      <c r="K40" t="n">
        <v>0</v>
      </c>
      <c r="L40" t="n">
        <v>0</v>
      </c>
      <c r="M40" t="n">
        <v>0</v>
      </c>
      <c r="N40" t="n">
        <v>0</v>
      </c>
      <c r="O40" t="n">
        <v>0</v>
      </c>
      <c r="P40" t="n">
        <v>0</v>
      </c>
      <c r="Q40" t="n">
        <v>0</v>
      </c>
      <c r="R40" t="n">
        <v>0</v>
      </c>
      <c r="S40" t="n">
        <v>0</v>
      </c>
      <c r="T40" t="n">
        <v>0</v>
      </c>
      <c r="U40" t="n">
        <v>0</v>
      </c>
      <c r="V40" s="2" t="inlineStr"/>
    </row>
    <row r="41" ht="15" customHeight="1">
      <c r="A41" t="inlineStr">
        <is>
          <t>A 41702-2023</t>
        </is>
      </c>
      <c r="B41" t="inlineStr">
        <is>
          <t>avverkningsanmälan</t>
        </is>
      </c>
      <c r="C41" t="inlineStr">
        <is>
          <t>Föryngringsavverkning</t>
        </is>
      </c>
      <c r="D41" s="1" t="n">
        <v>45176</v>
      </c>
      <c r="E41" s="1" t="n">
        <v>46229</v>
      </c>
      <c r="F41" t="inlineStr">
        <is>
          <t>STOCKHOLMS LÄN</t>
        </is>
      </c>
      <c r="G41" t="inlineStr">
        <is>
          <t>SIGTUNA</t>
        </is>
      </c>
      <c r="H41" t="inlineStr">
        <is>
          <t>Allmännings- och besparingsskogar</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36179-2022</t>
        </is>
      </c>
      <c r="B42" t="inlineStr">
        <is>
          <t>avverkningsanmälan</t>
        </is>
      </c>
      <c r="C42" t="inlineStr">
        <is>
          <t>Föryngringsavverkning</t>
        </is>
      </c>
      <c r="D42" s="1" t="n">
        <v>44803</v>
      </c>
      <c r="E42" s="1" t="n">
        <v>46229</v>
      </c>
      <c r="F42" t="inlineStr">
        <is>
          <t>STOCKHOLMS LÄN</t>
        </is>
      </c>
      <c r="G42" t="inlineStr">
        <is>
          <t>SIGTUNA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17286-2022</t>
        </is>
      </c>
      <c r="B43" t="inlineStr">
        <is>
          <t>avverkningsanmälan</t>
        </is>
      </c>
      <c r="C43" t="inlineStr">
        <is>
          <t>Avverkning för annat ändamål</t>
        </is>
      </c>
      <c r="D43" s="1" t="n">
        <v>44678</v>
      </c>
      <c r="E43" s="1" t="n">
        <v>46229</v>
      </c>
      <c r="F43" t="inlineStr">
        <is>
          <t>STOCKHOLMS LÄN</t>
        </is>
      </c>
      <c r="G43" t="inlineStr">
        <is>
          <t>SIGTUNA</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42572-2024</t>
        </is>
      </c>
      <c r="B44" t="inlineStr">
        <is>
          <t>avverkningsanmälan</t>
        </is>
      </c>
      <c r="C44" t="inlineStr">
        <is>
          <t>Föryngringsavverkning</t>
        </is>
      </c>
      <c r="D44" s="1" t="n">
        <v>45565</v>
      </c>
      <c r="E44" s="1" t="n">
        <v>46229</v>
      </c>
      <c r="F44" t="inlineStr">
        <is>
          <t>STOCKHOLMS LÄN</t>
        </is>
      </c>
      <c r="G44" t="inlineStr">
        <is>
          <t>SIGTUNA</t>
        </is>
      </c>
      <c r="I44" t="n">
        <v>2.3</v>
      </c>
      <c r="J44" t="n">
        <v>0</v>
      </c>
      <c r="K44" t="n">
        <v>0</v>
      </c>
      <c r="L44" t="n">
        <v>0</v>
      </c>
      <c r="M44" t="n">
        <v>0</v>
      </c>
      <c r="N44" t="n">
        <v>0</v>
      </c>
      <c r="O44" t="n">
        <v>0</v>
      </c>
      <c r="P44" t="n">
        <v>0</v>
      </c>
      <c r="Q44" t="n">
        <v>0</v>
      </c>
      <c r="R44" t="n">
        <v>0</v>
      </c>
      <c r="S44" t="n">
        <v>0</v>
      </c>
      <c r="T44" t="n">
        <v>0</v>
      </c>
      <c r="U44" t="n">
        <v>0</v>
      </c>
      <c r="V44" s="2" t="inlineStr"/>
    </row>
    <row r="45" ht="15" customHeight="1">
      <c r="A45" t="inlineStr">
        <is>
          <t>A 45233-2024</t>
        </is>
      </c>
      <c r="B45" t="inlineStr">
        <is>
          <t>avverkningsanmälan</t>
        </is>
      </c>
      <c r="C45" t="inlineStr">
        <is>
          <t>Föryngringsavverkning</t>
        </is>
      </c>
      <c r="D45" s="1" t="n">
        <v>45575</v>
      </c>
      <c r="E45" s="1" t="n">
        <v>46229</v>
      </c>
      <c r="F45" t="inlineStr">
        <is>
          <t>STOCKHOLMS LÄN</t>
        </is>
      </c>
      <c r="G45" t="inlineStr">
        <is>
          <t>SIGTUNA</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59957-2023</t>
        </is>
      </c>
      <c r="B46" t="inlineStr">
        <is>
          <t>avverkningsanmälan</t>
        </is>
      </c>
      <c r="C46" t="inlineStr">
        <is>
          <t>Föryngringsavverkning</t>
        </is>
      </c>
      <c r="D46" s="1" t="n">
        <v>45257</v>
      </c>
      <c r="E46" s="1" t="n">
        <v>46229</v>
      </c>
      <c r="F46" t="inlineStr">
        <is>
          <t>STOCKHOLMS LÄN</t>
        </is>
      </c>
      <c r="G46" t="inlineStr">
        <is>
          <t>SIGTUNA</t>
        </is>
      </c>
      <c r="H46" t="inlineStr">
        <is>
          <t>Sveaskog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47392-2025</t>
        </is>
      </c>
      <c r="B47" t="inlineStr">
        <is>
          <t>avverkningsanmälan</t>
        </is>
      </c>
      <c r="C47" t="inlineStr">
        <is>
          <t>Föryngringsavverkning</t>
        </is>
      </c>
      <c r="D47" s="1" t="n">
        <v>45930</v>
      </c>
      <c r="E47" s="1" t="n">
        <v>46229</v>
      </c>
      <c r="F47" t="inlineStr">
        <is>
          <t>STOCKHOLMS LÄN</t>
        </is>
      </c>
      <c r="G47" t="inlineStr">
        <is>
          <t>SIGTUNA</t>
        </is>
      </c>
      <c r="I47" t="n">
        <v>3.3</v>
      </c>
      <c r="J47" t="n">
        <v>0</v>
      </c>
      <c r="K47" t="n">
        <v>0</v>
      </c>
      <c r="L47" t="n">
        <v>0</v>
      </c>
      <c r="M47" t="n">
        <v>0</v>
      </c>
      <c r="N47" t="n">
        <v>0</v>
      </c>
      <c r="O47" t="n">
        <v>0</v>
      </c>
      <c r="P47" t="n">
        <v>0</v>
      </c>
      <c r="Q47" t="n">
        <v>0</v>
      </c>
      <c r="R47" t="n">
        <v>0</v>
      </c>
      <c r="S47" t="n">
        <v>0</v>
      </c>
      <c r="T47" t="n">
        <v>0</v>
      </c>
      <c r="U47" t="n">
        <v>0</v>
      </c>
      <c r="V47" s="2" t="inlineStr"/>
    </row>
    <row r="48" ht="15" customHeight="1">
      <c r="A48" t="inlineStr">
        <is>
          <t>A 49916-2025</t>
        </is>
      </c>
      <c r="B48" t="inlineStr">
        <is>
          <t>avverkningsanmälan</t>
        </is>
      </c>
      <c r="C48" t="inlineStr">
        <is>
          <t>Föryngringsavverkning</t>
        </is>
      </c>
      <c r="D48" s="1" t="n">
        <v>45940</v>
      </c>
      <c r="E48" s="1" t="n">
        <v>46229</v>
      </c>
      <c r="F48" t="inlineStr">
        <is>
          <t>STOCKHOLMS LÄN</t>
        </is>
      </c>
      <c r="G48" t="inlineStr">
        <is>
          <t>SIGTUNA</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31695-2022</t>
        </is>
      </c>
      <c r="B49" t="inlineStr">
        <is>
          <t>avverkningsanmälan</t>
        </is>
      </c>
      <c r="C49" t="inlineStr">
        <is>
          <t>Avverkning för att bevara och utveckla /försöksver</t>
        </is>
      </c>
      <c r="D49" s="1" t="n">
        <v>44776</v>
      </c>
      <c r="E49" s="1" t="n">
        <v>46229</v>
      </c>
      <c r="F49" t="inlineStr">
        <is>
          <t>STOCKHOLMS LÄN</t>
        </is>
      </c>
      <c r="G49" t="inlineStr">
        <is>
          <t>SIGTUNA</t>
        </is>
      </c>
      <c r="H49" t="inlineStr">
        <is>
          <t>Kommuner</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17320-2023</t>
        </is>
      </c>
      <c r="B50" t="inlineStr">
        <is>
          <t>avverkningsanmälan</t>
        </is>
      </c>
      <c r="C50" t="inlineStr">
        <is>
          <t>Föryngringsavverkning</t>
        </is>
      </c>
      <c r="D50" s="1" t="n">
        <v>45035</v>
      </c>
      <c r="E50" s="1" t="n">
        <v>46229</v>
      </c>
      <c r="F50" t="inlineStr">
        <is>
          <t>STOCKHOLMS LÄN</t>
        </is>
      </c>
      <c r="G50" t="inlineStr">
        <is>
          <t>SIGTUNA</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9856-2024</t>
        </is>
      </c>
      <c r="B51" t="inlineStr">
        <is>
          <t>avverkningsanmälan</t>
        </is>
      </c>
      <c r="C51" t="inlineStr">
        <is>
          <t>Avverkning för annat ändamål</t>
        </is>
      </c>
      <c r="D51" s="1" t="n">
        <v>45363</v>
      </c>
      <c r="E51" s="1" t="n">
        <v>46229</v>
      </c>
      <c r="F51" t="inlineStr">
        <is>
          <t>STOCKHOLMS LÄN</t>
        </is>
      </c>
      <c r="G51" t="inlineStr">
        <is>
          <t>SIGTUNA</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5142-2024</t>
        </is>
      </c>
      <c r="B52" t="inlineStr">
        <is>
          <t>avverkningsanmälan</t>
        </is>
      </c>
      <c r="C52" t="inlineStr">
        <is>
          <t>Avverkning för annat ändamål</t>
        </is>
      </c>
      <c r="D52" s="1" t="n">
        <v>45330</v>
      </c>
      <c r="E52" s="1" t="n">
        <v>46229</v>
      </c>
      <c r="F52" t="inlineStr">
        <is>
          <t>STOCKHOLMS LÄN</t>
        </is>
      </c>
      <c r="G52" t="inlineStr">
        <is>
          <t>SIGTUNA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20957-2023</t>
        </is>
      </c>
      <c r="B53" t="inlineStr">
        <is>
          <t>avverkningsanmälan</t>
        </is>
      </c>
      <c r="C53" t="inlineStr">
        <is>
          <t>Föryngringsavverkning</t>
        </is>
      </c>
      <c r="D53" s="1" t="n">
        <v>45061</v>
      </c>
      <c r="E53" s="1" t="n">
        <v>46229</v>
      </c>
      <c r="F53" t="inlineStr">
        <is>
          <t>STOCKHOLMS LÄN</t>
        </is>
      </c>
      <c r="G53" t="inlineStr">
        <is>
          <t>SIGTUNA</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59165-2022</t>
        </is>
      </c>
      <c r="B54" t="inlineStr">
        <is>
          <t>avverkningsanmälan</t>
        </is>
      </c>
      <c r="C54" t="inlineStr">
        <is>
          <t>Föryngringsavverkning</t>
        </is>
      </c>
      <c r="D54" s="1" t="n">
        <v>44904</v>
      </c>
      <c r="E54" s="1" t="n">
        <v>46229</v>
      </c>
      <c r="F54" t="inlineStr">
        <is>
          <t>STOCKHOLMS LÄN</t>
        </is>
      </c>
      <c r="G54" t="inlineStr">
        <is>
          <t>SIGTUNA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28851-2022</t>
        </is>
      </c>
      <c r="B55" t="inlineStr">
        <is>
          <t>avverkningsanmälan</t>
        </is>
      </c>
      <c r="C55" t="inlineStr">
        <is>
          <t>Föryngringsavverkning</t>
        </is>
      </c>
      <c r="D55" s="1" t="n">
        <v>44749</v>
      </c>
      <c r="E55" s="1" t="n">
        <v>46229</v>
      </c>
      <c r="F55" t="inlineStr">
        <is>
          <t>STOCKHOLMS LÄN</t>
        </is>
      </c>
      <c r="G55" t="inlineStr">
        <is>
          <t>SIGTUNA</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9120-2025</t>
        </is>
      </c>
      <c r="B56" t="inlineStr">
        <is>
          <t>avverkningsanmälan</t>
        </is>
      </c>
      <c r="C56" t="inlineStr">
        <is>
          <t>Föryngringsavverkning</t>
        </is>
      </c>
      <c r="D56" s="1" t="n">
        <v>45713</v>
      </c>
      <c r="E56" s="1" t="n">
        <v>46229</v>
      </c>
      <c r="F56" t="inlineStr">
        <is>
          <t>STOCKHOLMS LÄN</t>
        </is>
      </c>
      <c r="G56" t="inlineStr">
        <is>
          <t>SIGTUNA</t>
        </is>
      </c>
      <c r="H56" t="inlineStr">
        <is>
          <t>Allmännings- och besparingsskogar</t>
        </is>
      </c>
      <c r="I56" t="n">
        <v>9.699999999999999</v>
      </c>
      <c r="J56" t="n">
        <v>0</v>
      </c>
      <c r="K56" t="n">
        <v>0</v>
      </c>
      <c r="L56" t="n">
        <v>0</v>
      </c>
      <c r="M56" t="n">
        <v>0</v>
      </c>
      <c r="N56" t="n">
        <v>0</v>
      </c>
      <c r="O56" t="n">
        <v>0</v>
      </c>
      <c r="P56" t="n">
        <v>0</v>
      </c>
      <c r="Q56" t="n">
        <v>0</v>
      </c>
      <c r="R56" t="n">
        <v>0</v>
      </c>
      <c r="S56" t="n">
        <v>0</v>
      </c>
      <c r="T56" t="n">
        <v>0</v>
      </c>
      <c r="U56" t="n">
        <v>0</v>
      </c>
      <c r="V56" s="2" t="inlineStr"/>
    </row>
    <row r="57" ht="15" customHeight="1">
      <c r="A57" t="inlineStr">
        <is>
          <t>A 61937-2021</t>
        </is>
      </c>
      <c r="B57" t="inlineStr">
        <is>
          <t>avverkningsanmälan</t>
        </is>
      </c>
      <c r="C57" t="inlineStr">
        <is>
          <t>Avverkning för annat ändamål</t>
        </is>
      </c>
      <c r="D57" s="1" t="n">
        <v>44502</v>
      </c>
      <c r="E57" s="1" t="n">
        <v>46229</v>
      </c>
      <c r="F57" t="inlineStr">
        <is>
          <t>STOCKHOLMS LÄN</t>
        </is>
      </c>
      <c r="G57" t="inlineStr">
        <is>
          <t>SIGTUNA</t>
        </is>
      </c>
      <c r="I57" t="n">
        <v>14.7</v>
      </c>
      <c r="J57" t="n">
        <v>0</v>
      </c>
      <c r="K57" t="n">
        <v>0</v>
      </c>
      <c r="L57" t="n">
        <v>0</v>
      </c>
      <c r="M57" t="n">
        <v>0</v>
      </c>
      <c r="N57" t="n">
        <v>0</v>
      </c>
      <c r="O57" t="n">
        <v>0</v>
      </c>
      <c r="P57" t="n">
        <v>0</v>
      </c>
      <c r="Q57" t="n">
        <v>0</v>
      </c>
      <c r="R57" t="n">
        <v>0</v>
      </c>
      <c r="S57" t="n">
        <v>0</v>
      </c>
      <c r="T57" t="n">
        <v>0</v>
      </c>
      <c r="U57" t="n">
        <v>0</v>
      </c>
      <c r="V57" s="2" t="inlineStr"/>
    </row>
    <row r="58" ht="15" customHeight="1">
      <c r="A58" t="inlineStr">
        <is>
          <t>A 45319-2023</t>
        </is>
      </c>
      <c r="B58" t="inlineStr">
        <is>
          <t>avverkningsanmälan</t>
        </is>
      </c>
      <c r="C58" t="inlineStr">
        <is>
          <t>Föryngringsavverkning</t>
        </is>
      </c>
      <c r="D58" s="1" t="n">
        <v>45191</v>
      </c>
      <c r="E58" s="1" t="n">
        <v>46229</v>
      </c>
      <c r="F58" t="inlineStr">
        <is>
          <t>STOCKHOLMS LÄN</t>
        </is>
      </c>
      <c r="G58" t="inlineStr">
        <is>
          <t>SIGTUNA</t>
        </is>
      </c>
      <c r="H58" t="inlineStr">
        <is>
          <t>Allmännings- och besparingsskogar</t>
        </is>
      </c>
      <c r="I58" t="n">
        <v>2.7</v>
      </c>
      <c r="J58" t="n">
        <v>0</v>
      </c>
      <c r="K58" t="n">
        <v>0</v>
      </c>
      <c r="L58" t="n">
        <v>0</v>
      </c>
      <c r="M58" t="n">
        <v>0</v>
      </c>
      <c r="N58" t="n">
        <v>0</v>
      </c>
      <c r="O58" t="n">
        <v>0</v>
      </c>
      <c r="P58" t="n">
        <v>0</v>
      </c>
      <c r="Q58" t="n">
        <v>0</v>
      </c>
      <c r="R58" t="n">
        <v>0</v>
      </c>
      <c r="S58" t="n">
        <v>0</v>
      </c>
      <c r="T58" t="n">
        <v>0</v>
      </c>
      <c r="U58" t="n">
        <v>0</v>
      </c>
      <c r="V58" s="2" t="inlineStr"/>
    </row>
    <row r="59" ht="15" customHeight="1">
      <c r="A59" t="inlineStr">
        <is>
          <t>A 60949-2025</t>
        </is>
      </c>
      <c r="B59" t="inlineStr">
        <is>
          <t>avverkningsanmälan</t>
        </is>
      </c>
      <c r="C59" t="inlineStr">
        <is>
          <t>Föryngringsavverkning</t>
        </is>
      </c>
      <c r="D59" s="1" t="n">
        <v>45996</v>
      </c>
      <c r="E59" s="1" t="n">
        <v>46229</v>
      </c>
      <c r="F59" t="inlineStr">
        <is>
          <t>STOCKHOLMS LÄN</t>
        </is>
      </c>
      <c r="G59" t="inlineStr">
        <is>
          <t>SIGTUNA</t>
        </is>
      </c>
      <c r="I59" t="n">
        <v>21.9</v>
      </c>
      <c r="J59" t="n">
        <v>0</v>
      </c>
      <c r="K59" t="n">
        <v>0</v>
      </c>
      <c r="L59" t="n">
        <v>0</v>
      </c>
      <c r="M59" t="n">
        <v>0</v>
      </c>
      <c r="N59" t="n">
        <v>0</v>
      </c>
      <c r="O59" t="n">
        <v>0</v>
      </c>
      <c r="P59" t="n">
        <v>0</v>
      </c>
      <c r="Q59" t="n">
        <v>0</v>
      </c>
      <c r="R59" t="n">
        <v>0</v>
      </c>
      <c r="S59" t="n">
        <v>0</v>
      </c>
      <c r="T59" t="n">
        <v>0</v>
      </c>
      <c r="U59" t="n">
        <v>0</v>
      </c>
      <c r="V59" s="2" t="inlineStr"/>
    </row>
    <row r="60" ht="15" customHeight="1">
      <c r="A60" t="inlineStr">
        <is>
          <t>A 60969-2025</t>
        </is>
      </c>
      <c r="B60" t="inlineStr">
        <is>
          <t>avverkningsanmälan</t>
        </is>
      </c>
      <c r="C60" t="inlineStr">
        <is>
          <t>Föryngringsavverkning</t>
        </is>
      </c>
      <c r="D60" s="1" t="n">
        <v>45996</v>
      </c>
      <c r="E60" s="1" t="n">
        <v>46229</v>
      </c>
      <c r="F60" t="inlineStr">
        <is>
          <t>STOCKHOLMS LÄN</t>
        </is>
      </c>
      <c r="G60" t="inlineStr">
        <is>
          <t>SIGTUNA</t>
        </is>
      </c>
      <c r="I60" t="n">
        <v>8.800000000000001</v>
      </c>
      <c r="J60" t="n">
        <v>0</v>
      </c>
      <c r="K60" t="n">
        <v>0</v>
      </c>
      <c r="L60" t="n">
        <v>0</v>
      </c>
      <c r="M60" t="n">
        <v>0</v>
      </c>
      <c r="N60" t="n">
        <v>0</v>
      </c>
      <c r="O60" t="n">
        <v>0</v>
      </c>
      <c r="P60" t="n">
        <v>0</v>
      </c>
      <c r="Q60" t="n">
        <v>0</v>
      </c>
      <c r="R60" t="n">
        <v>0</v>
      </c>
      <c r="S60" t="n">
        <v>0</v>
      </c>
      <c r="T60" t="n">
        <v>0</v>
      </c>
      <c r="U60" t="n">
        <v>0</v>
      </c>
      <c r="V60" s="2" t="inlineStr"/>
    </row>
    <row r="61" ht="15" customHeight="1">
      <c r="A61" t="inlineStr">
        <is>
          <t>A 60935-2023</t>
        </is>
      </c>
      <c r="B61" t="inlineStr">
        <is>
          <t>avverkningsanmälan</t>
        </is>
      </c>
      <c r="C61" t="inlineStr">
        <is>
          <t>Föryngringsavverkning</t>
        </is>
      </c>
      <c r="D61" s="1" t="n">
        <v>45261</v>
      </c>
      <c r="E61" s="1" t="n">
        <v>46229</v>
      </c>
      <c r="F61" t="inlineStr">
        <is>
          <t>STOCKHOLMS LÄN</t>
        </is>
      </c>
      <c r="G61" t="inlineStr">
        <is>
          <t>SIGTUNA</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22913-2026</t>
        </is>
      </c>
      <c r="B62" t="inlineStr">
        <is>
          <t>avverkningsanmälan</t>
        </is>
      </c>
      <c r="C62" t="inlineStr">
        <is>
          <t>Föryngringsavverkning</t>
        </is>
      </c>
      <c r="D62" s="1" t="n">
        <v>46159</v>
      </c>
      <c r="E62" s="1" t="n">
        <v>46229</v>
      </c>
      <c r="F62" t="inlineStr">
        <is>
          <t>STOCKHOLMS LÄN</t>
        </is>
      </c>
      <c r="G62" t="inlineStr">
        <is>
          <t>SIGTUNA</t>
        </is>
      </c>
      <c r="H62" t="inlineStr">
        <is>
          <t>Sveaskog</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3673-2026</t>
        </is>
      </c>
      <c r="B63" t="inlineStr">
        <is>
          <t>avverkningsanmälan</t>
        </is>
      </c>
      <c r="C63" t="inlineStr">
        <is>
          <t>Föryngringsavverkning</t>
        </is>
      </c>
      <c r="D63" s="1" t="n">
        <v>46043</v>
      </c>
      <c r="E63" s="1" t="n">
        <v>46229</v>
      </c>
      <c r="F63" t="inlineStr">
        <is>
          <t>STOCKHOLMS LÄN</t>
        </is>
      </c>
      <c r="G63" t="inlineStr">
        <is>
          <t>SIGTUNA</t>
        </is>
      </c>
      <c r="I63" t="n">
        <v>3.8</v>
      </c>
      <c r="J63" t="n">
        <v>0</v>
      </c>
      <c r="K63" t="n">
        <v>0</v>
      </c>
      <c r="L63" t="n">
        <v>0</v>
      </c>
      <c r="M63" t="n">
        <v>0</v>
      </c>
      <c r="N63" t="n">
        <v>0</v>
      </c>
      <c r="O63" t="n">
        <v>0</v>
      </c>
      <c r="P63" t="n">
        <v>0</v>
      </c>
      <c r="Q63" t="n">
        <v>0</v>
      </c>
      <c r="R63" t="n">
        <v>0</v>
      </c>
      <c r="S63" t="n">
        <v>0</v>
      </c>
      <c r="T63" t="n">
        <v>0</v>
      </c>
      <c r="U63" t="n">
        <v>0</v>
      </c>
      <c r="V63" s="2" t="inlineStr"/>
    </row>
    <row r="64" ht="15" customHeight="1">
      <c r="A64" t="inlineStr">
        <is>
          <t>A 20375-2023</t>
        </is>
      </c>
      <c r="B64" t="inlineStr">
        <is>
          <t>avverkningsanmälan</t>
        </is>
      </c>
      <c r="C64" t="inlineStr">
        <is>
          <t>Föryngringsavverkning</t>
        </is>
      </c>
      <c r="D64" s="1" t="n">
        <v>45054</v>
      </c>
      <c r="E64" s="1" t="n">
        <v>46229</v>
      </c>
      <c r="F64" t="inlineStr">
        <is>
          <t>STOCKHOLMS LÄN</t>
        </is>
      </c>
      <c r="G64" t="inlineStr">
        <is>
          <t>SIGTUNA</t>
        </is>
      </c>
      <c r="I64" t="n">
        <v>2.3</v>
      </c>
      <c r="J64" t="n">
        <v>0</v>
      </c>
      <c r="K64" t="n">
        <v>0</v>
      </c>
      <c r="L64" t="n">
        <v>0</v>
      </c>
      <c r="M64" t="n">
        <v>0</v>
      </c>
      <c r="N64" t="n">
        <v>0</v>
      </c>
      <c r="O64" t="n">
        <v>0</v>
      </c>
      <c r="P64" t="n">
        <v>0</v>
      </c>
      <c r="Q64" t="n">
        <v>0</v>
      </c>
      <c r="R64" t="n">
        <v>0</v>
      </c>
      <c r="S64" t="n">
        <v>0</v>
      </c>
      <c r="T64" t="n">
        <v>0</v>
      </c>
      <c r="U64" t="n">
        <v>0</v>
      </c>
      <c r="V64" s="2" t="inlineStr"/>
    </row>
    <row r="65" ht="15" customHeight="1">
      <c r="A65" t="inlineStr">
        <is>
          <t>A 4788-2026</t>
        </is>
      </c>
      <c r="B65" t="inlineStr">
        <is>
          <t>avverkningsanmälan</t>
        </is>
      </c>
      <c r="C65" t="inlineStr">
        <is>
          <t>Föryngringsavverkning</t>
        </is>
      </c>
      <c r="D65" s="1" t="n">
        <v>46048</v>
      </c>
      <c r="E65" s="1" t="n">
        <v>46229</v>
      </c>
      <c r="F65" t="inlineStr">
        <is>
          <t>STOCKHOLMS LÄN</t>
        </is>
      </c>
      <c r="G65" t="inlineStr">
        <is>
          <t>SIGTUNA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38276-2023</t>
        </is>
      </c>
      <c r="B66" t="inlineStr">
        <is>
          <t>avverkningsanmälan</t>
        </is>
      </c>
      <c r="C66" t="inlineStr">
        <is>
          <t>Föryngringsavverkning</t>
        </is>
      </c>
      <c r="D66" s="1" t="n">
        <v>45160</v>
      </c>
      <c r="E66" s="1" t="n">
        <v>46229</v>
      </c>
      <c r="F66" t="inlineStr">
        <is>
          <t>STOCKHOLMS LÄN</t>
        </is>
      </c>
      <c r="G66" t="inlineStr">
        <is>
          <t>SIGTUNA</t>
        </is>
      </c>
      <c r="I66" t="n">
        <v>18.1</v>
      </c>
      <c r="J66" t="n">
        <v>0</v>
      </c>
      <c r="K66" t="n">
        <v>0</v>
      </c>
      <c r="L66" t="n">
        <v>0</v>
      </c>
      <c r="M66" t="n">
        <v>0</v>
      </c>
      <c r="N66" t="n">
        <v>0</v>
      </c>
      <c r="O66" t="n">
        <v>0</v>
      </c>
      <c r="P66" t="n">
        <v>0</v>
      </c>
      <c r="Q66" t="n">
        <v>0</v>
      </c>
      <c r="R66" t="n">
        <v>0</v>
      </c>
      <c r="S66" t="n">
        <v>0</v>
      </c>
      <c r="T66" t="n">
        <v>0</v>
      </c>
      <c r="U66" t="n">
        <v>0</v>
      </c>
      <c r="V66" s="2" t="inlineStr"/>
    </row>
    <row r="67" ht="15" customHeight="1">
      <c r="A67" t="inlineStr">
        <is>
          <t>A 2496-2024</t>
        </is>
      </c>
      <c r="B67" t="inlineStr">
        <is>
          <t>avverkningsanmälan</t>
        </is>
      </c>
      <c r="C67" t="inlineStr">
        <is>
          <t>Föryngringsavverkning</t>
        </is>
      </c>
      <c r="D67" s="1" t="n">
        <v>45313</v>
      </c>
      <c r="E67" s="1" t="n">
        <v>46229</v>
      </c>
      <c r="F67" t="inlineStr">
        <is>
          <t>STOCKHOLMS LÄN</t>
        </is>
      </c>
      <c r="G67" t="inlineStr">
        <is>
          <t>SIGTUNA</t>
        </is>
      </c>
      <c r="H67" t="inlineStr">
        <is>
          <t>Kommuner</t>
        </is>
      </c>
      <c r="I67" t="n">
        <v>3.3</v>
      </c>
      <c r="J67" t="n">
        <v>0</v>
      </c>
      <c r="K67" t="n">
        <v>0</v>
      </c>
      <c r="L67" t="n">
        <v>0</v>
      </c>
      <c r="M67" t="n">
        <v>0</v>
      </c>
      <c r="N67" t="n">
        <v>0</v>
      </c>
      <c r="O67" t="n">
        <v>0</v>
      </c>
      <c r="P67" t="n">
        <v>0</v>
      </c>
      <c r="Q67" t="n">
        <v>0</v>
      </c>
      <c r="R67" t="n">
        <v>0</v>
      </c>
      <c r="S67" t="n">
        <v>0</v>
      </c>
      <c r="T67" t="n">
        <v>0</v>
      </c>
      <c r="U67" t="n">
        <v>0</v>
      </c>
      <c r="V67" s="2" t="inlineStr"/>
    </row>
    <row r="68" ht="15" customHeight="1">
      <c r="A68" t="inlineStr">
        <is>
          <t>A 59168-2022</t>
        </is>
      </c>
      <c r="B68" t="inlineStr">
        <is>
          <t>avverkningsanmälan</t>
        </is>
      </c>
      <c r="C68" t="inlineStr">
        <is>
          <t>Föryngringsavverkning</t>
        </is>
      </c>
      <c r="D68" s="1" t="n">
        <v>44904</v>
      </c>
      <c r="E68" s="1" t="n">
        <v>46229</v>
      </c>
      <c r="F68" t="inlineStr">
        <is>
          <t>STOCKHOLMS LÄN</t>
        </is>
      </c>
      <c r="G68" t="inlineStr">
        <is>
          <t>SIGTUNA</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7229-2026</t>
        </is>
      </c>
      <c r="B69" t="inlineStr">
        <is>
          <t>avverkningsanmälan</t>
        </is>
      </c>
      <c r="C69" t="inlineStr">
        <is>
          <t>Föryngringsavverkning</t>
        </is>
      </c>
      <c r="D69" s="1" t="n">
        <v>46058</v>
      </c>
      <c r="E69" s="1" t="n">
        <v>46229</v>
      </c>
      <c r="F69" t="inlineStr">
        <is>
          <t>STOCKHOLMS LÄN</t>
        </is>
      </c>
      <c r="G69" t="inlineStr">
        <is>
          <t>SIGTUNA</t>
        </is>
      </c>
      <c r="I69" t="n">
        <v>3.8</v>
      </c>
      <c r="J69" t="n">
        <v>0</v>
      </c>
      <c r="K69" t="n">
        <v>0</v>
      </c>
      <c r="L69" t="n">
        <v>0</v>
      </c>
      <c r="M69" t="n">
        <v>0</v>
      </c>
      <c r="N69" t="n">
        <v>0</v>
      </c>
      <c r="O69" t="n">
        <v>0</v>
      </c>
      <c r="P69" t="n">
        <v>0</v>
      </c>
      <c r="Q69" t="n">
        <v>0</v>
      </c>
      <c r="R69" t="n">
        <v>0</v>
      </c>
      <c r="S69" t="n">
        <v>0</v>
      </c>
      <c r="T69" t="n">
        <v>0</v>
      </c>
      <c r="U69" t="n">
        <v>0</v>
      </c>
      <c r="V69" s="2" t="inlineStr"/>
    </row>
    <row r="70" ht="15" customHeight="1">
      <c r="A70" t="inlineStr">
        <is>
          <t>A 7833-2026</t>
        </is>
      </c>
      <c r="B70" t="inlineStr">
        <is>
          <t>avverkningsanmälan</t>
        </is>
      </c>
      <c r="C70" t="inlineStr">
        <is>
          <t>Föryngringsavverkning</t>
        </is>
      </c>
      <c r="D70" s="1" t="n">
        <v>46062</v>
      </c>
      <c r="E70" s="1" t="n">
        <v>46229</v>
      </c>
      <c r="F70" t="inlineStr">
        <is>
          <t>STOCKHOLMS LÄN</t>
        </is>
      </c>
      <c r="G70" t="inlineStr">
        <is>
          <t>SIGTUNA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72530-2021</t>
        </is>
      </c>
      <c r="B71" t="inlineStr">
        <is>
          <t>avverkningsanmälan</t>
        </is>
      </c>
      <c r="C71" t="inlineStr">
        <is>
          <t>Avverkning för annat ändamål</t>
        </is>
      </c>
      <c r="D71" s="1" t="n">
        <v>44546</v>
      </c>
      <c r="E71" s="1" t="n">
        <v>46229</v>
      </c>
      <c r="F71" t="inlineStr">
        <is>
          <t>STOCKHOLMS LÄN</t>
        </is>
      </c>
      <c r="G71" t="inlineStr">
        <is>
          <t>SIGTUNA</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12052-2026</t>
        </is>
      </c>
      <c r="B72" t="inlineStr">
        <is>
          <t>avverkningsanmälan</t>
        </is>
      </c>
      <c r="C72" t="inlineStr">
        <is>
          <t>Föryngringsavverkning</t>
        </is>
      </c>
      <c r="D72" s="1" t="n">
        <v>46086</v>
      </c>
      <c r="E72" s="1" t="n">
        <v>46229</v>
      </c>
      <c r="F72" t="inlineStr">
        <is>
          <t>STOCKHOLMS LÄN</t>
        </is>
      </c>
      <c r="G72" t="inlineStr">
        <is>
          <t>SIGTUNA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13662-2026</t>
        </is>
      </c>
      <c r="B73" t="inlineStr">
        <is>
          <t>avverkningsanmälan</t>
        </is>
      </c>
      <c r="C73" t="inlineStr">
        <is>
          <t>Föryngringsavverkning</t>
        </is>
      </c>
      <c r="D73" s="1" t="n">
        <v>46097</v>
      </c>
      <c r="E73" s="1" t="n">
        <v>46229</v>
      </c>
      <c r="F73" t="inlineStr">
        <is>
          <t>STOCKHOLMS LÄN</t>
        </is>
      </c>
      <c r="G73" t="inlineStr">
        <is>
          <t>SIGTUNA</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32424-2023</t>
        </is>
      </c>
      <c r="B74" t="inlineStr">
        <is>
          <t>avverkningsanmälan</t>
        </is>
      </c>
      <c r="C74" t="inlineStr">
        <is>
          <t>Föryngringsavverkning</t>
        </is>
      </c>
      <c r="D74" s="1" t="n">
        <v>45110</v>
      </c>
      <c r="E74" s="1" t="n">
        <v>46229</v>
      </c>
      <c r="F74" t="inlineStr">
        <is>
          <t>STOCKHOLMS LÄN</t>
        </is>
      </c>
      <c r="G74" t="inlineStr">
        <is>
          <t>SIGTUNA</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20960-2023</t>
        </is>
      </c>
      <c r="B75" t="inlineStr">
        <is>
          <t>avverkningsanmälan</t>
        </is>
      </c>
      <c r="C75" t="inlineStr">
        <is>
          <t>Föryngringsavverkning</t>
        </is>
      </c>
      <c r="D75" s="1" t="n">
        <v>45061</v>
      </c>
      <c r="E75" s="1" t="n">
        <v>46229</v>
      </c>
      <c r="F75" t="inlineStr">
        <is>
          <t>STOCKHOLMS LÄN</t>
        </is>
      </c>
      <c r="G75" t="inlineStr">
        <is>
          <t>SIGTUNA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32426-2023</t>
        </is>
      </c>
      <c r="B76" t="inlineStr">
        <is>
          <t>avverkningsanmälan</t>
        </is>
      </c>
      <c r="C76" t="inlineStr">
        <is>
          <t>Föryngringsavverkning</t>
        </is>
      </c>
      <c r="D76" s="1" t="n">
        <v>45110</v>
      </c>
      <c r="E76" s="1" t="n">
        <v>46229</v>
      </c>
      <c r="F76" t="inlineStr">
        <is>
          <t>STOCKHOLMS LÄN</t>
        </is>
      </c>
      <c r="G76" t="inlineStr">
        <is>
          <t>SIGTUNA</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58619-2023</t>
        </is>
      </c>
      <c r="B77" t="inlineStr">
        <is>
          <t>avverkningsanmälan</t>
        </is>
      </c>
      <c r="C77" t="inlineStr">
        <is>
          <t>Föryngringsavverkning</t>
        </is>
      </c>
      <c r="D77" s="1" t="n">
        <v>45251</v>
      </c>
      <c r="E77" s="1" t="n">
        <v>46229</v>
      </c>
      <c r="F77" t="inlineStr">
        <is>
          <t>STOCKHOLMS LÄN</t>
        </is>
      </c>
      <c r="G77" t="inlineStr">
        <is>
          <t>SIGTUNA</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43700-2023</t>
        </is>
      </c>
      <c r="B78" t="inlineStr">
        <is>
          <t>avverkningsanmälan</t>
        </is>
      </c>
      <c r="C78" t="inlineStr">
        <is>
          <t>Föryngringsavverkning</t>
        </is>
      </c>
      <c r="D78" s="1" t="n">
        <v>45187</v>
      </c>
      <c r="E78" s="1" t="n">
        <v>46229</v>
      </c>
      <c r="F78" t="inlineStr">
        <is>
          <t>STOCKHOLMS LÄN</t>
        </is>
      </c>
      <c r="G78" t="inlineStr">
        <is>
          <t>SIGTUNA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56796-2022</t>
        </is>
      </c>
      <c r="B79" t="inlineStr">
        <is>
          <t>avverkningsanmälan</t>
        </is>
      </c>
      <c r="C79" t="inlineStr">
        <is>
          <t>Föryngringsavverkning</t>
        </is>
      </c>
      <c r="D79" s="1" t="n">
        <v>44894</v>
      </c>
      <c r="E79" s="1" t="n">
        <v>46229</v>
      </c>
      <c r="F79" t="inlineStr">
        <is>
          <t>STOCKHOLMS LÄN</t>
        </is>
      </c>
      <c r="G79" t="inlineStr">
        <is>
          <t>SIGTUNA</t>
        </is>
      </c>
      <c r="I79" t="n">
        <v>5.2</v>
      </c>
      <c r="J79" t="n">
        <v>0</v>
      </c>
      <c r="K79" t="n">
        <v>0</v>
      </c>
      <c r="L79" t="n">
        <v>0</v>
      </c>
      <c r="M79" t="n">
        <v>0</v>
      </c>
      <c r="N79" t="n">
        <v>0</v>
      </c>
      <c r="O79" t="n">
        <v>0</v>
      </c>
      <c r="P79" t="n">
        <v>0</v>
      </c>
      <c r="Q79" t="n">
        <v>0</v>
      </c>
      <c r="R79" t="n">
        <v>0</v>
      </c>
      <c r="S79" t="n">
        <v>0</v>
      </c>
      <c r="T79" t="n">
        <v>0</v>
      </c>
      <c r="U79" t="n">
        <v>0</v>
      </c>
      <c r="V79" s="2" t="inlineStr"/>
    </row>
    <row r="80" ht="15" customHeight="1">
      <c r="A80" t="inlineStr">
        <is>
          <t>A 36181-2022</t>
        </is>
      </c>
      <c r="B80" t="inlineStr">
        <is>
          <t>avverkningsanmälan</t>
        </is>
      </c>
      <c r="C80" t="inlineStr">
        <is>
          <t>Föryngringsavverkning</t>
        </is>
      </c>
      <c r="D80" s="1" t="n">
        <v>44803</v>
      </c>
      <c r="E80" s="1" t="n">
        <v>46229</v>
      </c>
      <c r="F80" t="inlineStr">
        <is>
          <t>STOCKHOLMS LÄN</t>
        </is>
      </c>
      <c r="G80" t="inlineStr">
        <is>
          <t>SIGTUNA</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60922-2023</t>
        </is>
      </c>
      <c r="B81" t="inlineStr">
        <is>
          <t>avverkningsanmälan</t>
        </is>
      </c>
      <c r="C81" t="inlineStr">
        <is>
          <t>Föryngringsavverkning</t>
        </is>
      </c>
      <c r="D81" s="1" t="n">
        <v>45261</v>
      </c>
      <c r="E81" s="1" t="n">
        <v>46229</v>
      </c>
      <c r="F81" t="inlineStr">
        <is>
          <t>STOCKHOLMS LÄN</t>
        </is>
      </c>
      <c r="G81" t="inlineStr">
        <is>
          <t>SIGTUNA</t>
        </is>
      </c>
      <c r="I81" t="n">
        <v>7.6</v>
      </c>
      <c r="J81" t="n">
        <v>0</v>
      </c>
      <c r="K81" t="n">
        <v>0</v>
      </c>
      <c r="L81" t="n">
        <v>0</v>
      </c>
      <c r="M81" t="n">
        <v>0</v>
      </c>
      <c r="N81" t="n">
        <v>0</v>
      </c>
      <c r="O81" t="n">
        <v>0</v>
      </c>
      <c r="P81" t="n">
        <v>0</v>
      </c>
      <c r="Q81" t="n">
        <v>0</v>
      </c>
      <c r="R81" t="n">
        <v>0</v>
      </c>
      <c r="S81" t="n">
        <v>0</v>
      </c>
      <c r="T81" t="n">
        <v>0</v>
      </c>
      <c r="U81" t="n">
        <v>0</v>
      </c>
      <c r="V81" s="2" t="inlineStr"/>
    </row>
    <row r="82" ht="15" customHeight="1">
      <c r="A82" t="inlineStr">
        <is>
          <t>A 273-2025</t>
        </is>
      </c>
      <c r="B82" t="inlineStr">
        <is>
          <t>avverkningsanmälan</t>
        </is>
      </c>
      <c r="C82" t="inlineStr">
        <is>
          <t>Avverkning för annat ändamål</t>
        </is>
      </c>
      <c r="D82" s="1" t="n">
        <v>45653</v>
      </c>
      <c r="E82" s="1" t="n">
        <v>46229</v>
      </c>
      <c r="F82" t="inlineStr">
        <is>
          <t>STOCKHOLMS LÄN</t>
        </is>
      </c>
      <c r="G82" t="inlineStr">
        <is>
          <t>SIGTUNA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38465-2023</t>
        </is>
      </c>
      <c r="B83" t="inlineStr">
        <is>
          <t>avverkningsanmälan</t>
        </is>
      </c>
      <c r="C83" t="inlineStr">
        <is>
          <t>Föryngringsavverkning</t>
        </is>
      </c>
      <c r="D83" s="1" t="n">
        <v>45162</v>
      </c>
      <c r="E83" s="1" t="n">
        <v>46229</v>
      </c>
      <c r="F83" t="inlineStr">
        <is>
          <t>STOCKHOLMS LÄN</t>
        </is>
      </c>
      <c r="G83" t="inlineStr">
        <is>
          <t>SIGTUNA</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7214-2022</t>
        </is>
      </c>
      <c r="B84" t="inlineStr">
        <is>
          <t>avverkningsanmälan</t>
        </is>
      </c>
      <c r="C84" t="inlineStr">
        <is>
          <t>Föryngringsavverkning</t>
        </is>
      </c>
      <c r="D84" s="1" t="n">
        <v>44606</v>
      </c>
      <c r="E84" s="1" t="n">
        <v>46229</v>
      </c>
      <c r="F84" t="inlineStr">
        <is>
          <t>STOCKHOLMS LÄN</t>
        </is>
      </c>
      <c r="G84" t="inlineStr">
        <is>
          <t>SIGTUNA</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11285-2023</t>
        </is>
      </c>
      <c r="B85" t="inlineStr">
        <is>
          <t>avverkningsanmälan</t>
        </is>
      </c>
      <c r="C85" t="inlineStr">
        <is>
          <t>Föryngringsavverkning</t>
        </is>
      </c>
      <c r="D85" s="1" t="n">
        <v>44992</v>
      </c>
      <c r="E85" s="1" t="n">
        <v>46229</v>
      </c>
      <c r="F85" t="inlineStr">
        <is>
          <t>STOCKHOLMS LÄN</t>
        </is>
      </c>
      <c r="G85" t="inlineStr">
        <is>
          <t>SIGTUNA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25452-2023</t>
        </is>
      </c>
      <c r="B86" t="inlineStr">
        <is>
          <t>avverkningsanmälan</t>
        </is>
      </c>
      <c r="C86" t="inlineStr">
        <is>
          <t>Föryngringsavverkning</t>
        </is>
      </c>
      <c r="D86" s="1" t="n">
        <v>45089</v>
      </c>
      <c r="E86" s="1" t="n">
        <v>46229</v>
      </c>
      <c r="F86" t="inlineStr">
        <is>
          <t>STOCKHOLMS LÄN</t>
        </is>
      </c>
      <c r="G86" t="inlineStr">
        <is>
          <t>SIGTUNA</t>
        </is>
      </c>
      <c r="H86" t="inlineStr">
        <is>
          <t>Sveaskog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60865-2024</t>
        </is>
      </c>
      <c r="B87" t="inlineStr">
        <is>
          <t>avverkningsanmälan</t>
        </is>
      </c>
      <c r="C87" t="inlineStr">
        <is>
          <t>Föryngringsavverkning</t>
        </is>
      </c>
      <c r="D87" s="1" t="n">
        <v>45644</v>
      </c>
      <c r="E87" s="1" t="n">
        <v>46229</v>
      </c>
      <c r="F87" t="inlineStr">
        <is>
          <t>STOCKHOLMS LÄN</t>
        </is>
      </c>
      <c r="G87" t="inlineStr">
        <is>
          <t>SIGTUNA</t>
        </is>
      </c>
      <c r="I87" t="n">
        <v>0.2</v>
      </c>
      <c r="J87" t="n">
        <v>0</v>
      </c>
      <c r="K87" t="n">
        <v>0</v>
      </c>
      <c r="L87" t="n">
        <v>0</v>
      </c>
      <c r="M87" t="n">
        <v>0</v>
      </c>
      <c r="N87" t="n">
        <v>0</v>
      </c>
      <c r="O87" t="n">
        <v>0</v>
      </c>
      <c r="P87" t="n">
        <v>0</v>
      </c>
      <c r="Q87" t="n">
        <v>0</v>
      </c>
      <c r="R87" t="n">
        <v>0</v>
      </c>
      <c r="S87" t="n">
        <v>0</v>
      </c>
      <c r="T87" t="n">
        <v>0</v>
      </c>
      <c r="U87" t="n">
        <v>0</v>
      </c>
      <c r="V87" s="2" t="inlineStr"/>
    </row>
    <row r="88" ht="15" customHeight="1">
      <c r="A88" t="inlineStr">
        <is>
          <t>A 51770-2023</t>
        </is>
      </c>
      <c r="B88" t="inlineStr">
        <is>
          <t>avverkningsanmälan</t>
        </is>
      </c>
      <c r="C88" t="inlineStr">
        <is>
          <t>Föryngringsavverkning</t>
        </is>
      </c>
      <c r="D88" s="1" t="n">
        <v>45222</v>
      </c>
      <c r="E88" s="1" t="n">
        <v>46229</v>
      </c>
      <c r="F88" t="inlineStr">
        <is>
          <t>STOCKHOLMS LÄN</t>
        </is>
      </c>
      <c r="G88" t="inlineStr">
        <is>
          <t>SIGTUNA</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31684-2022</t>
        </is>
      </c>
      <c r="B89" t="inlineStr">
        <is>
          <t>avverkningsanmälan</t>
        </is>
      </c>
      <c r="C89" t="inlineStr">
        <is>
          <t>Avverkning för att bevara och utveckla /försöksver</t>
        </is>
      </c>
      <c r="D89" s="1" t="n">
        <v>44776</v>
      </c>
      <c r="E89" s="1" t="n">
        <v>46229</v>
      </c>
      <c r="F89" t="inlineStr">
        <is>
          <t>STOCKHOLMS LÄN</t>
        </is>
      </c>
      <c r="G89" t="inlineStr">
        <is>
          <t>SIGTUNA</t>
        </is>
      </c>
      <c r="H89" t="inlineStr">
        <is>
          <t>Kommuner</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35966-2024</t>
        </is>
      </c>
      <c r="B90" t="inlineStr">
        <is>
          <t>avverkningsanmälan</t>
        </is>
      </c>
      <c r="C90" t="inlineStr">
        <is>
          <t>Föryngringsavverkning</t>
        </is>
      </c>
      <c r="D90" s="1" t="n">
        <v>45533</v>
      </c>
      <c r="E90" s="1" t="n">
        <v>46229</v>
      </c>
      <c r="F90" t="inlineStr">
        <is>
          <t>STOCKHOLMS LÄN</t>
        </is>
      </c>
      <c r="G90" t="inlineStr">
        <is>
          <t>SIGTUNA</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3890-2025</t>
        </is>
      </c>
      <c r="B91" t="inlineStr">
        <is>
          <t>avverkningsanmälan</t>
        </is>
      </c>
      <c r="C91" t="inlineStr">
        <is>
          <t>Föryngringsavverkning</t>
        </is>
      </c>
      <c r="D91" s="1" t="n">
        <v>45684</v>
      </c>
      <c r="E91" s="1" t="n">
        <v>46229</v>
      </c>
      <c r="F91" t="inlineStr">
        <is>
          <t>STOCKHOLMS LÄN</t>
        </is>
      </c>
      <c r="G91" t="inlineStr">
        <is>
          <t>SIGTUNA</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43158-2024</t>
        </is>
      </c>
      <c r="B92" t="inlineStr">
        <is>
          <t>avverkningsanmälan</t>
        </is>
      </c>
      <c r="C92" t="inlineStr">
        <is>
          <t>Föryngringsavverkning</t>
        </is>
      </c>
      <c r="D92" s="1" t="n">
        <v>45567</v>
      </c>
      <c r="E92" s="1" t="n">
        <v>46229</v>
      </c>
      <c r="F92" t="inlineStr">
        <is>
          <t>STOCKHOLMS LÄN</t>
        </is>
      </c>
      <c r="G92" t="inlineStr">
        <is>
          <t>SIGTUNA</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24946-2024</t>
        </is>
      </c>
      <c r="B93" t="inlineStr">
        <is>
          <t>avverkningsanmälan</t>
        </is>
      </c>
      <c r="C93" t="inlineStr">
        <is>
          <t>Föryngringsavverkning</t>
        </is>
      </c>
      <c r="D93" s="1" t="n">
        <v>45461</v>
      </c>
      <c r="E93" s="1" t="n">
        <v>46229</v>
      </c>
      <c r="F93" t="inlineStr">
        <is>
          <t>STOCKHOLMS LÄN</t>
        </is>
      </c>
      <c r="G93" t="inlineStr">
        <is>
          <t>SIGTUNA</t>
        </is>
      </c>
      <c r="I93" t="n">
        <v>12.5</v>
      </c>
      <c r="J93" t="n">
        <v>0</v>
      </c>
      <c r="K93" t="n">
        <v>0</v>
      </c>
      <c r="L93" t="n">
        <v>0</v>
      </c>
      <c r="M93" t="n">
        <v>0</v>
      </c>
      <c r="N93" t="n">
        <v>0</v>
      </c>
      <c r="O93" t="n">
        <v>0</v>
      </c>
      <c r="P93" t="n">
        <v>0</v>
      </c>
      <c r="Q93" t="n">
        <v>0</v>
      </c>
      <c r="R93" t="n">
        <v>0</v>
      </c>
      <c r="S93" t="n">
        <v>0</v>
      </c>
      <c r="T93" t="n">
        <v>0</v>
      </c>
      <c r="U93" t="n">
        <v>0</v>
      </c>
      <c r="V93" s="2" t="inlineStr"/>
    </row>
    <row r="94" ht="15" customHeight="1">
      <c r="A94" t="inlineStr">
        <is>
          <t>A 21513-2025</t>
        </is>
      </c>
      <c r="B94" t="inlineStr">
        <is>
          <t>avverkningsanmälan</t>
        </is>
      </c>
      <c r="C94" t="inlineStr">
        <is>
          <t>Föryngringsavverkning</t>
        </is>
      </c>
      <c r="D94" s="1" t="n">
        <v>45782</v>
      </c>
      <c r="E94" s="1" t="n">
        <v>46229</v>
      </c>
      <c r="F94" t="inlineStr">
        <is>
          <t>STOCKHOLMS LÄN</t>
        </is>
      </c>
      <c r="G94" t="inlineStr">
        <is>
          <t>SIGTUNA</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19031-2024</t>
        </is>
      </c>
      <c r="B95" t="inlineStr">
        <is>
          <t>avverkningsanmälan</t>
        </is>
      </c>
      <c r="C95" t="inlineStr">
        <is>
          <t>Avverkning för annat ändamål</t>
        </is>
      </c>
      <c r="D95" s="1" t="n">
        <v>45427</v>
      </c>
      <c r="E95" s="1" t="n">
        <v>46229</v>
      </c>
      <c r="F95" t="inlineStr">
        <is>
          <t>STOCKHOLMS LÄN</t>
        </is>
      </c>
      <c r="G95" t="inlineStr">
        <is>
          <t>SIGTUNA</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35961-2024</t>
        </is>
      </c>
      <c r="B96" t="inlineStr">
        <is>
          <t>avverkningsanmälan</t>
        </is>
      </c>
      <c r="C96" t="inlineStr">
        <is>
          <t>Föryngringsavverkning</t>
        </is>
      </c>
      <c r="D96" s="1" t="n">
        <v>45533</v>
      </c>
      <c r="E96" s="1" t="n">
        <v>46229</v>
      </c>
      <c r="F96" t="inlineStr">
        <is>
          <t>STOCKHOLMS LÄN</t>
        </is>
      </c>
      <c r="G96" t="inlineStr">
        <is>
          <t>SIGTUNA</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22402-2025</t>
        </is>
      </c>
      <c r="B97" t="inlineStr">
        <is>
          <t>avverkningsanmälan</t>
        </is>
      </c>
      <c r="C97" t="inlineStr">
        <is>
          <t>Föryngringsavverkning</t>
        </is>
      </c>
      <c r="D97" s="1" t="n">
        <v>45786</v>
      </c>
      <c r="E97" s="1" t="n">
        <v>46229</v>
      </c>
      <c r="F97" t="inlineStr">
        <is>
          <t>STOCKHOLMS LÄN</t>
        </is>
      </c>
      <c r="G97" t="inlineStr">
        <is>
          <t>SIGTUNA</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48375-2024</t>
        </is>
      </c>
      <c r="B98" t="inlineStr">
        <is>
          <t>avverkningsanmälan</t>
        </is>
      </c>
      <c r="C98" t="inlineStr">
        <is>
          <t>Föryngringsavverkning</t>
        </is>
      </c>
      <c r="D98" s="1" t="n">
        <v>45590</v>
      </c>
      <c r="E98" s="1" t="n">
        <v>46229</v>
      </c>
      <c r="F98" t="inlineStr">
        <is>
          <t>STOCKHOLMS LÄN</t>
        </is>
      </c>
      <c r="G98" t="inlineStr">
        <is>
          <t>SIGTUNA</t>
        </is>
      </c>
      <c r="H98" t="inlineStr">
        <is>
          <t>Allmännings- och besparingsskogar</t>
        </is>
      </c>
      <c r="I98" t="n">
        <v>4.8</v>
      </c>
      <c r="J98" t="n">
        <v>0</v>
      </c>
      <c r="K98" t="n">
        <v>0</v>
      </c>
      <c r="L98" t="n">
        <v>0</v>
      </c>
      <c r="M98" t="n">
        <v>0</v>
      </c>
      <c r="N98" t="n">
        <v>0</v>
      </c>
      <c r="O98" t="n">
        <v>0</v>
      </c>
      <c r="P98" t="n">
        <v>0</v>
      </c>
      <c r="Q98" t="n">
        <v>0</v>
      </c>
      <c r="R98" t="n">
        <v>0</v>
      </c>
      <c r="S98" t="n">
        <v>0</v>
      </c>
      <c r="T98" t="n">
        <v>0</v>
      </c>
      <c r="U98" t="n">
        <v>0</v>
      </c>
      <c r="V98" s="2" t="inlineStr"/>
    </row>
    <row r="99" ht="15" customHeight="1">
      <c r="A99" t="inlineStr">
        <is>
          <t>A 24105-2025</t>
        </is>
      </c>
      <c r="B99" t="inlineStr">
        <is>
          <t>avverkningsanmälan</t>
        </is>
      </c>
      <c r="C99" t="inlineStr">
        <is>
          <t>Föryngringsavverkning</t>
        </is>
      </c>
      <c r="D99" s="1" t="n">
        <v>45796</v>
      </c>
      <c r="E99" s="1" t="n">
        <v>46229</v>
      </c>
      <c r="F99" t="inlineStr">
        <is>
          <t>STOCKHOLMS LÄN</t>
        </is>
      </c>
      <c r="G99" t="inlineStr">
        <is>
          <t>SIGTUNA</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60934-2023</t>
        </is>
      </c>
      <c r="B100" t="inlineStr">
        <is>
          <t>avverkningsanmälan</t>
        </is>
      </c>
      <c r="C100" t="inlineStr">
        <is>
          <t>Föryngringsavverkning</t>
        </is>
      </c>
      <c r="D100" s="1" t="n">
        <v>45261</v>
      </c>
      <c r="E100" s="1" t="n">
        <v>46229</v>
      </c>
      <c r="F100" t="inlineStr">
        <is>
          <t>STOCKHOLMS LÄN</t>
        </is>
      </c>
      <c r="G100" t="inlineStr">
        <is>
          <t>SIGTUNA</t>
        </is>
      </c>
      <c r="I100" t="n">
        <v>1.1</v>
      </c>
      <c r="J100" t="n">
        <v>0</v>
      </c>
      <c r="K100" t="n">
        <v>0</v>
      </c>
      <c r="L100" t="n">
        <v>0</v>
      </c>
      <c r="M100" t="n">
        <v>0</v>
      </c>
      <c r="N100" t="n">
        <v>0</v>
      </c>
      <c r="O100" t="n">
        <v>0</v>
      </c>
      <c r="P100" t="n">
        <v>0</v>
      </c>
      <c r="Q100" t="n">
        <v>0</v>
      </c>
      <c r="R100" t="n">
        <v>0</v>
      </c>
      <c r="S100" t="n">
        <v>0</v>
      </c>
      <c r="T100" t="n">
        <v>0</v>
      </c>
      <c r="U100" t="n">
        <v>0</v>
      </c>
      <c r="V100" s="2" t="inlineStr"/>
    </row>
    <row r="101">
      <c r="A101" t="inlineStr">
        <is>
          <t>A 28681-2025</t>
        </is>
      </c>
      <c r="B101" t="inlineStr">
        <is>
          <t>avverkningsanmälan</t>
        </is>
      </c>
      <c r="C101" t="inlineStr">
        <is>
          <t>Föryngringsavverkning</t>
        </is>
      </c>
      <c r="D101" s="1" t="n">
        <v>45819</v>
      </c>
      <c r="E101" s="1" t="n">
        <v>46229</v>
      </c>
      <c r="F101" t="inlineStr">
        <is>
          <t>STOCKHOLMS LÄN</t>
        </is>
      </c>
      <c r="G101" t="inlineStr">
        <is>
          <t>SIGTUNA</t>
        </is>
      </c>
      <c r="I101" t="n">
        <v>7.5</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2026-07-26T01:53:44Z</dcterms:created>
  <dcterms:modified xmlns:dcterms="http://purl.org/dc/terms/" xmlns:xsi="http://www.w3.org/2001/XMLSchema-instance" xsi:type="dcterms:W3CDTF">2026-07-26T01:53:44Z</dcterms:modified>
</cp:coreProperties>
</file>
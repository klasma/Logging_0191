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46221</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46221</v>
      </c>
      <c r="F3" t="inlineStr">
        <is>
          <t>STOCKHOLMS LÄN</t>
        </is>
      </c>
      <c r="G3" t="inlineStr">
        <is>
          <t>SIGTUNA</t>
        </is>
      </c>
      <c r="I3" t="n">
        <v>4.7</v>
      </c>
      <c r="J3" t="n">
        <v>19</v>
      </c>
      <c r="K3" t="n">
        <v>4</v>
      </c>
      <c r="L3" t="n">
        <v>7</v>
      </c>
      <c r="M3" t="n">
        <v>1</v>
      </c>
      <c r="N3" t="n">
        <v>0</v>
      </c>
      <c r="O3" t="n">
        <v>0</v>
      </c>
      <c r="P3" t="n">
        <v>0</v>
      </c>
      <c r="Q3" t="n">
        <v>8</v>
      </c>
      <c r="R3" t="n">
        <v>1</v>
      </c>
      <c r="S3" t="n">
        <v>23</v>
      </c>
      <c r="T3" t="n">
        <v>40</v>
      </c>
      <c r="U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
        <f>HYPERLINK("https://klasma.github.io/Logging_0191/artfynd/A 61919-2021 artfynd.xlsx", "A 61919-2021")</f>
        <v/>
      </c>
      <c r="W3">
        <f>HYPERLINK("https://klasma.github.io/Logging_0191/kartor/A 61919-2021 karta.png", "A 61919-2021")</f>
        <v/>
      </c>
      <c r="Y3">
        <f>HYPERLINK("https://klasma.github.io/Logging_0191/klagomål/A 61919-2021 FSC-klagomål.docx", "A 61919-2021")</f>
        <v/>
      </c>
      <c r="Z3">
        <f>HYPERLINK("https://klasma.github.io/Logging_0191/klagomålsmail/A 61919-2021 FSC-klagomål mail.docx", "A 61919-2021")</f>
        <v/>
      </c>
      <c r="AA3">
        <f>HYPERLINK("https://klasma.github.io/Logging_0191/tillsyn/A 61919-2021 tillsynsbegäran.docx", "A 61919-2021")</f>
        <v/>
      </c>
      <c r="AB3">
        <f>HYPERLINK("https://klasma.github.io/Logging_0191/tillsynsmail/A 61919-2021 tillsynsbegäran mail.docx", "A 61919-2021")</f>
        <v/>
      </c>
      <c r="AC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46221</v>
      </c>
      <c r="F4" t="inlineStr">
        <is>
          <t>STOCKHOLMS LÄN</t>
        </is>
      </c>
      <c r="G4" t="inlineStr">
        <is>
          <t>SIGTUNA</t>
        </is>
      </c>
      <c r="I4" t="n">
        <v>2</v>
      </c>
      <c r="J4" t="n">
        <v>12</v>
      </c>
      <c r="K4" t="n">
        <v>0</v>
      </c>
      <c r="L4" t="n">
        <v>5</v>
      </c>
      <c r="M4" t="n">
        <v>2</v>
      </c>
      <c r="N4" t="n">
        <v>0</v>
      </c>
      <c r="O4" t="n">
        <v>0</v>
      </c>
      <c r="P4" t="n">
        <v>0</v>
      </c>
      <c r="Q4" t="n">
        <v>7</v>
      </c>
      <c r="R4" t="n">
        <v>2</v>
      </c>
      <c r="S4" t="n">
        <v>12</v>
      </c>
      <c r="T4" t="n">
        <v>29</v>
      </c>
      <c r="U4" s="2" t="inlineStr">
        <is>
          <t>Grönfink
Stare
Duvhök
Gulsparv
Järnsparv
Sädesärla
Talltita
Nattskärra
Spillkråka
Gröngöling
Grönsiska
Kungsfågel</t>
        </is>
      </c>
      <c r="V4">
        <f>HYPERLINK("https://klasma.github.io/Logging_0191/artfynd/A 39620-2023 artfynd.xlsx", "A 39620-2023")</f>
        <v/>
      </c>
      <c r="W4">
        <f>HYPERLINK("https://klasma.github.io/Logging_0191/kartor/A 39620-2023 karta.png", "A 39620-2023")</f>
        <v/>
      </c>
      <c r="Y4">
        <f>HYPERLINK("https://klasma.github.io/Logging_0191/klagomål/A 39620-2023 FSC-klagomål.docx", "A 39620-2023")</f>
        <v/>
      </c>
      <c r="Z4">
        <f>HYPERLINK("https://klasma.github.io/Logging_0191/klagomålsmail/A 39620-2023 FSC-klagomål mail.docx", "A 39620-2023")</f>
        <v/>
      </c>
      <c r="AA4">
        <f>HYPERLINK("https://klasma.github.io/Logging_0191/tillsyn/A 39620-2023 tillsynsbegäran.docx", "A 39620-2023")</f>
        <v/>
      </c>
      <c r="AB4">
        <f>HYPERLINK("https://klasma.github.io/Logging_0191/tillsynsmail/A 39620-2023 tillsynsbegäran mail.docx", "A 39620-2023")</f>
        <v/>
      </c>
      <c r="AC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46221</v>
      </c>
      <c r="F5" t="inlineStr">
        <is>
          <t>STOCKHOLMS LÄN</t>
        </is>
      </c>
      <c r="G5" t="inlineStr">
        <is>
          <t>SIGTUNA</t>
        </is>
      </c>
      <c r="I5" t="n">
        <v>15.2</v>
      </c>
      <c r="J5" t="n">
        <v>8</v>
      </c>
      <c r="K5" t="n">
        <v>3</v>
      </c>
      <c r="L5" t="n">
        <v>1</v>
      </c>
      <c r="M5" t="n">
        <v>1</v>
      </c>
      <c r="N5" t="n">
        <v>0</v>
      </c>
      <c r="O5" t="n">
        <v>0</v>
      </c>
      <c r="P5" t="n">
        <v>0</v>
      </c>
      <c r="Q5" t="n">
        <v>2</v>
      </c>
      <c r="R5" t="n">
        <v>1</v>
      </c>
      <c r="S5" t="n">
        <v>11</v>
      </c>
      <c r="T5" t="n">
        <v>16</v>
      </c>
      <c r="U5" s="2" t="inlineStr">
        <is>
          <t>Grönfink
Talltita
Aspvedgnagare
Kornig nållav
Spetsvaxing
Grönsiska
Kungsfågel
Skogsduva
Trana
Vanlig padda
Revlummer</t>
        </is>
      </c>
      <c r="V5">
        <f>HYPERLINK("https://klasma.github.io/Logging_0191/artfynd/A 39613-2023 artfynd.xlsx", "A 39613-2023")</f>
        <v/>
      </c>
      <c r="W5">
        <f>HYPERLINK("https://klasma.github.io/Logging_0191/kartor/A 39613-2023 karta.png", "A 39613-2023")</f>
        <v/>
      </c>
      <c r="Y5">
        <f>HYPERLINK("https://klasma.github.io/Logging_0191/klagomål/A 39613-2023 FSC-klagomål.docx", "A 39613-2023")</f>
        <v/>
      </c>
      <c r="Z5">
        <f>HYPERLINK("https://klasma.github.io/Logging_0191/klagomålsmail/A 39613-2023 FSC-klagomål mail.docx", "A 39613-2023")</f>
        <v/>
      </c>
      <c r="AA5">
        <f>HYPERLINK("https://klasma.github.io/Logging_0191/tillsyn/A 39613-2023 tillsynsbegäran.docx", "A 39613-2023")</f>
        <v/>
      </c>
      <c r="AB5">
        <f>HYPERLINK("https://klasma.github.io/Logging_0191/tillsynsmail/A 39613-2023 tillsynsbegäran mail.docx", "A 39613-2023")</f>
        <v/>
      </c>
      <c r="AC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46221</v>
      </c>
      <c r="F6" t="inlineStr">
        <is>
          <t>STOCKHOLMS LÄN</t>
        </is>
      </c>
      <c r="G6" t="inlineStr">
        <is>
          <t>SIGTUNA</t>
        </is>
      </c>
      <c r="I6" t="n">
        <v>15.3</v>
      </c>
      <c r="J6" t="n">
        <v>7</v>
      </c>
      <c r="K6" t="n">
        <v>0</v>
      </c>
      <c r="L6" t="n">
        <v>4</v>
      </c>
      <c r="M6" t="n">
        <v>3</v>
      </c>
      <c r="N6" t="n">
        <v>0</v>
      </c>
      <c r="O6" t="n">
        <v>0</v>
      </c>
      <c r="P6" t="n">
        <v>0</v>
      </c>
      <c r="Q6" t="n">
        <v>7</v>
      </c>
      <c r="R6" t="n">
        <v>3</v>
      </c>
      <c r="S6" t="n">
        <v>10</v>
      </c>
      <c r="T6" t="n">
        <v>17</v>
      </c>
      <c r="U6" s="2" t="inlineStr">
        <is>
          <t>Hussvala
Mindre blåvinge
Tornseglare
Gulsparv
Jungfrulin
Ladusvala
Vinterhämpling
Kattfot
Grönsiska
Ärtsångare</t>
        </is>
      </c>
      <c r="V6">
        <f>HYPERLINK("https://klasma.github.io/Logging_0191/artfynd/A 10000-2022 artfynd.xlsx", "A 10000-2022")</f>
        <v/>
      </c>
      <c r="W6">
        <f>HYPERLINK("https://klasma.github.io/Logging_0191/kartor/A 10000-2022 karta.png", "A 10000-2022")</f>
        <v/>
      </c>
      <c r="Y6">
        <f>HYPERLINK("https://klasma.github.io/Logging_0191/klagomål/A 10000-2022 FSC-klagomål.docx", "A 10000-2022")</f>
        <v/>
      </c>
      <c r="Z6">
        <f>HYPERLINK("https://klasma.github.io/Logging_0191/klagomålsmail/A 10000-2022 FSC-klagomål mail.docx", "A 10000-2022")</f>
        <v/>
      </c>
      <c r="AA6">
        <f>HYPERLINK("https://klasma.github.io/Logging_0191/tillsyn/A 10000-2022 tillsynsbegäran.docx", "A 10000-2022")</f>
        <v/>
      </c>
      <c r="AB6">
        <f>HYPERLINK("https://klasma.github.io/Logging_0191/tillsynsmail/A 10000-2022 tillsynsbegäran mail.docx", "A 10000-2022")</f>
        <v/>
      </c>
      <c r="AC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46221</v>
      </c>
      <c r="F7" t="inlineStr">
        <is>
          <t>STOCKHOLMS LÄN</t>
        </is>
      </c>
      <c r="G7" t="inlineStr">
        <is>
          <t>SIGTUNA</t>
        </is>
      </c>
      <c r="I7" t="n">
        <v>0.2</v>
      </c>
      <c r="J7" t="n">
        <v>4</v>
      </c>
      <c r="K7" t="n">
        <v>2</v>
      </c>
      <c r="L7" t="n">
        <v>1</v>
      </c>
      <c r="M7" t="n">
        <v>1</v>
      </c>
      <c r="N7" t="n">
        <v>1</v>
      </c>
      <c r="O7" t="n">
        <v>0</v>
      </c>
      <c r="P7" t="n">
        <v>0</v>
      </c>
      <c r="Q7" t="n">
        <v>3</v>
      </c>
      <c r="R7" t="n">
        <v>2</v>
      </c>
      <c r="S7" t="n">
        <v>8</v>
      </c>
      <c r="T7" t="n">
        <v>9</v>
      </c>
      <c r="U7" s="2" t="inlineStr">
        <is>
          <t>Ask
Stare
Svart skogssnigel
Barkticka
Myskmadra
Svartvit flugsnappare
Trana
Gullviva</t>
        </is>
      </c>
      <c r="V7">
        <f>HYPERLINK("https://klasma.github.io/Logging_0191/artfynd/A 51848-2024 artfynd.xlsx", "A 51848-2024")</f>
        <v/>
      </c>
      <c r="W7">
        <f>HYPERLINK("https://klasma.github.io/Logging_0191/kartor/A 51848-2024 karta.png", "A 51848-2024")</f>
        <v/>
      </c>
      <c r="Y7">
        <f>HYPERLINK("https://klasma.github.io/Logging_0191/klagomål/A 51848-2024 FSC-klagomål.docx", "A 51848-2024")</f>
        <v/>
      </c>
      <c r="Z7">
        <f>HYPERLINK("https://klasma.github.io/Logging_0191/klagomålsmail/A 51848-2024 FSC-klagomål mail.docx", "A 51848-2024")</f>
        <v/>
      </c>
      <c r="AA7">
        <f>HYPERLINK("https://klasma.github.io/Logging_0191/tillsyn/A 51848-2024 tillsynsbegäran.docx", "A 51848-2024")</f>
        <v/>
      </c>
      <c r="AB7">
        <f>HYPERLINK("https://klasma.github.io/Logging_0191/tillsynsmail/A 51848-2024 tillsynsbegäran mail.docx", "A 51848-2024")</f>
        <v/>
      </c>
      <c r="AC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46221</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s="2" t="inlineStr">
        <is>
          <t>Grönfink
Gulsparv
Grönsiska
Pudrad kärrtrollslända
Skogsduva</t>
        </is>
      </c>
      <c r="V8">
        <f>HYPERLINK("https://klasma.github.io/Logging_0191/artfynd/A 64357-2023 artfynd.xlsx", "A 64357-2023")</f>
        <v/>
      </c>
      <c r="W8">
        <f>HYPERLINK("https://klasma.github.io/Logging_0191/kartor/A 64357-2023 karta.png", "A 64357-2023")</f>
        <v/>
      </c>
      <c r="Y8">
        <f>HYPERLINK("https://klasma.github.io/Logging_0191/klagomål/A 64357-2023 FSC-klagomål.docx", "A 64357-2023")</f>
        <v/>
      </c>
      <c r="Z8">
        <f>HYPERLINK("https://klasma.github.io/Logging_0191/klagomålsmail/A 64357-2023 FSC-klagomål mail.docx", "A 64357-2023")</f>
        <v/>
      </c>
      <c r="AA8">
        <f>HYPERLINK("https://klasma.github.io/Logging_0191/tillsyn/A 64357-2023 tillsynsbegäran.docx", "A 64357-2023")</f>
        <v/>
      </c>
      <c r="AB8">
        <f>HYPERLINK("https://klasma.github.io/Logging_0191/tillsynsmail/A 64357-2023 tillsynsbegäran mail.docx", "A 64357-2023")</f>
        <v/>
      </c>
      <c r="AC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46221</v>
      </c>
      <c r="F9" t="inlineStr">
        <is>
          <t>STOCKHOLMS LÄN</t>
        </is>
      </c>
      <c r="G9" t="inlineStr">
        <is>
          <t>SIGTUNA</t>
        </is>
      </c>
      <c r="I9" t="n">
        <v>32.8</v>
      </c>
      <c r="J9" t="n">
        <v>3</v>
      </c>
      <c r="K9" t="n">
        <v>0</v>
      </c>
      <c r="L9" t="n">
        <v>1</v>
      </c>
      <c r="M9" t="n">
        <v>0</v>
      </c>
      <c r="N9" t="n">
        <v>0</v>
      </c>
      <c r="O9" t="n">
        <v>0</v>
      </c>
      <c r="P9" t="n">
        <v>0</v>
      </c>
      <c r="Q9" t="n">
        <v>1</v>
      </c>
      <c r="R9" t="n">
        <v>0</v>
      </c>
      <c r="S9" t="n">
        <v>4</v>
      </c>
      <c r="T9" t="n">
        <v>37</v>
      </c>
      <c r="U9" s="2" t="inlineStr">
        <is>
          <t>Vedskivlav
Större vattensalamander
Åkergroda
Mindre vattensalamander</t>
        </is>
      </c>
      <c r="V9">
        <f>HYPERLINK("https://klasma.github.io/Logging_0191/artfynd/A 51189-2022 artfynd.xlsx", "A 51189-2022")</f>
        <v/>
      </c>
      <c r="W9">
        <f>HYPERLINK("https://klasma.github.io/Logging_0191/kartor/A 51189-2022 karta.png", "A 51189-2022")</f>
        <v/>
      </c>
      <c r="Y9">
        <f>HYPERLINK("https://klasma.github.io/Logging_0191/klagomål/A 51189-2022 FSC-klagomål.docx", "A 51189-2022")</f>
        <v/>
      </c>
      <c r="Z9">
        <f>HYPERLINK("https://klasma.github.io/Logging_0191/klagomålsmail/A 51189-2022 FSC-klagomål mail.docx", "A 51189-2022")</f>
        <v/>
      </c>
      <c r="AA9">
        <f>HYPERLINK("https://klasma.github.io/Logging_0191/tillsyn/A 51189-2022 tillsynsbegäran.docx", "A 51189-2022")</f>
        <v/>
      </c>
      <c r="AB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46221</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s="2" t="inlineStr">
        <is>
          <t>Slåtterfibbla
Spillkråka
Trädlärka
Nattviol</t>
        </is>
      </c>
      <c r="V10">
        <f>HYPERLINK("https://klasma.github.io/Logging_0191/artfynd/A 22400-2025 artfynd.xlsx", "A 22400-2025")</f>
        <v/>
      </c>
      <c r="W10">
        <f>HYPERLINK("https://klasma.github.io/Logging_0191/kartor/A 22400-2025 karta.png", "A 22400-2025")</f>
        <v/>
      </c>
      <c r="Y10">
        <f>HYPERLINK("https://klasma.github.io/Logging_0191/klagomål/A 22400-2025 FSC-klagomål.docx", "A 22400-2025")</f>
        <v/>
      </c>
      <c r="Z10">
        <f>HYPERLINK("https://klasma.github.io/Logging_0191/klagomålsmail/A 22400-2025 FSC-klagomål mail.docx", "A 22400-2025")</f>
        <v/>
      </c>
      <c r="AA10">
        <f>HYPERLINK("https://klasma.github.io/Logging_0191/tillsyn/A 22400-2025 tillsynsbegäran.docx", "A 22400-2025")</f>
        <v/>
      </c>
      <c r="AB10">
        <f>HYPERLINK("https://klasma.github.io/Logging_0191/tillsynsmail/A 22400-2025 tillsynsbegäran mail.docx", "A 22400-2025")</f>
        <v/>
      </c>
      <c r="AC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46221</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s="2" t="inlineStr">
        <is>
          <t>Blåsippa
Grönsiska
Gullviva</t>
        </is>
      </c>
      <c r="V11">
        <f>HYPERLINK("https://klasma.github.io/Logging_0191/artfynd/A 3677-2026 artfynd.xlsx", "A 3677-2026")</f>
        <v/>
      </c>
      <c r="W11">
        <f>HYPERLINK("https://klasma.github.io/Logging_0191/kartor/A 3677-2026 karta.png", "A 3677-2026")</f>
        <v/>
      </c>
      <c r="Y11">
        <f>HYPERLINK("https://klasma.github.io/Logging_0191/klagomål/A 3677-2026 FSC-klagomål.docx", "A 3677-2026")</f>
        <v/>
      </c>
      <c r="Z11">
        <f>HYPERLINK("https://klasma.github.io/Logging_0191/klagomålsmail/A 3677-2026 FSC-klagomål mail.docx", "A 3677-2026")</f>
        <v/>
      </c>
      <c r="AA11">
        <f>HYPERLINK("https://klasma.github.io/Logging_0191/tillsyn/A 3677-2026 tillsynsbegäran.docx", "A 3677-2026")</f>
        <v/>
      </c>
      <c r="AB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46221</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s="2" t="inlineStr">
        <is>
          <t>Ask
Gullviva</t>
        </is>
      </c>
      <c r="V12">
        <f>HYPERLINK("https://klasma.github.io/Logging_0191/artfynd/A 34068-2022 artfynd.xlsx", "A 34068-2022")</f>
        <v/>
      </c>
      <c r="W12">
        <f>HYPERLINK("https://klasma.github.io/Logging_0191/kartor/A 34068-2022 karta.png", "A 34068-2022")</f>
        <v/>
      </c>
      <c r="Y12">
        <f>HYPERLINK("https://klasma.github.io/Logging_0191/klagomål/A 34068-2022 FSC-klagomål.docx", "A 34068-2022")</f>
        <v/>
      </c>
      <c r="Z12">
        <f>HYPERLINK("https://klasma.github.io/Logging_0191/klagomålsmail/A 34068-2022 FSC-klagomål mail.docx", "A 34068-2022")</f>
        <v/>
      </c>
      <c r="AA12">
        <f>HYPERLINK("https://klasma.github.io/Logging_0191/tillsyn/A 34068-2022 tillsynsbegäran.docx", "A 34068-2022")</f>
        <v/>
      </c>
      <c r="AB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46221</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s="2" t="inlineStr">
        <is>
          <t>Gröngöling
Kungsfågel</t>
        </is>
      </c>
      <c r="V13">
        <f>HYPERLINK("https://klasma.github.io/Logging_0191/artfynd/A 41957-2025 artfynd.xlsx", "A 41957-2025")</f>
        <v/>
      </c>
      <c r="W13">
        <f>HYPERLINK("https://klasma.github.io/Logging_0191/kartor/A 41957-2025 karta.png", "A 41957-2025")</f>
        <v/>
      </c>
      <c r="Y13">
        <f>HYPERLINK("https://klasma.github.io/Logging_0191/klagomål/A 41957-2025 FSC-klagomål.docx", "A 41957-2025")</f>
        <v/>
      </c>
      <c r="Z13">
        <f>HYPERLINK("https://klasma.github.io/Logging_0191/klagomålsmail/A 41957-2025 FSC-klagomål mail.docx", "A 41957-2025")</f>
        <v/>
      </c>
      <c r="AA13">
        <f>HYPERLINK("https://klasma.github.io/Logging_0191/tillsyn/A 41957-2025 tillsynsbegäran.docx", "A 41957-2025")</f>
        <v/>
      </c>
      <c r="AB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46221</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s="2" t="inlineStr">
        <is>
          <t>Bergsslok
Getrams</t>
        </is>
      </c>
      <c r="V14">
        <f>HYPERLINK("https://klasma.github.io/Logging_0191/artfynd/A 40643-2024 artfynd.xlsx", "A 40643-2024")</f>
        <v/>
      </c>
      <c r="W14">
        <f>HYPERLINK("https://klasma.github.io/Logging_0191/kartor/A 40643-2024 karta.png", "A 40643-2024")</f>
        <v/>
      </c>
      <c r="Y14">
        <f>HYPERLINK("https://klasma.github.io/Logging_0191/klagomål/A 40643-2024 FSC-klagomål.docx", "A 40643-2024")</f>
        <v/>
      </c>
      <c r="Z14">
        <f>HYPERLINK("https://klasma.github.io/Logging_0191/klagomålsmail/A 40643-2024 FSC-klagomål mail.docx", "A 40643-2024")</f>
        <v/>
      </c>
      <c r="AA14">
        <f>HYPERLINK("https://klasma.github.io/Logging_0191/tillsyn/A 40643-2024 tillsynsbegäran.docx", "A 40643-2024")</f>
        <v/>
      </c>
      <c r="AB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46221</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s="2" t="inlineStr">
        <is>
          <t>Talltita
Kungsfågel</t>
        </is>
      </c>
      <c r="V15">
        <f>HYPERLINK("https://klasma.github.io/Logging_0191/artfynd/A 64345-2023 artfynd.xlsx", "A 64345-2023")</f>
        <v/>
      </c>
      <c r="W15">
        <f>HYPERLINK("https://klasma.github.io/Logging_0191/kartor/A 64345-2023 karta.png", "A 64345-2023")</f>
        <v/>
      </c>
      <c r="Y15">
        <f>HYPERLINK("https://klasma.github.io/Logging_0191/klagomål/A 64345-2023 FSC-klagomål.docx", "A 64345-2023")</f>
        <v/>
      </c>
      <c r="Z15">
        <f>HYPERLINK("https://klasma.github.io/Logging_0191/klagomålsmail/A 64345-2023 FSC-klagomål mail.docx", "A 64345-2023")</f>
        <v/>
      </c>
      <c r="AA15">
        <f>HYPERLINK("https://klasma.github.io/Logging_0191/tillsyn/A 64345-2023 tillsynsbegäran.docx", "A 64345-2023")</f>
        <v/>
      </c>
      <c r="AB15">
        <f>HYPERLINK("https://klasma.github.io/Logging_0191/tillsynsmail/A 64345-2023 tillsynsbegäran mail.docx", "A 64345-2023")</f>
        <v/>
      </c>
      <c r="AC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46221</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s="2" t="inlineStr">
        <is>
          <t>Kandelabersvamp
Blåsippa</t>
        </is>
      </c>
      <c r="V16">
        <f>HYPERLINK("https://klasma.github.io/Logging_0191/artfynd/A 22874-2026 artfynd.xlsx", "A 22874-2026")</f>
        <v/>
      </c>
      <c r="W16">
        <f>HYPERLINK("https://klasma.github.io/Logging_0191/kartor/A 22874-2026 karta.png", "A 22874-2026")</f>
        <v/>
      </c>
      <c r="Y16">
        <f>HYPERLINK("https://klasma.github.io/Logging_0191/klagomål/A 22874-2026 FSC-klagomål.docx", "A 22874-2026")</f>
        <v/>
      </c>
      <c r="Z16">
        <f>HYPERLINK("https://klasma.github.io/Logging_0191/klagomålsmail/A 22874-2026 FSC-klagomål mail.docx", "A 22874-2026")</f>
        <v/>
      </c>
      <c r="AA16">
        <f>HYPERLINK("https://klasma.github.io/Logging_0191/tillsyn/A 22874-2026 tillsynsbegäran.docx", "A 22874-2026")</f>
        <v/>
      </c>
      <c r="AB16">
        <f>HYPERLINK("https://klasma.github.io/Logging_0191/tillsynsmail/A 22874-2026 tillsynsbegäran mail.docx", "A 22874-2026")</f>
        <v/>
      </c>
    </row>
    <row r="17" ht="15" customHeight="1">
      <c r="A17" t="inlineStr">
        <is>
          <t>A 6893-2026</t>
        </is>
      </c>
      <c r="B17" t="inlineStr">
        <is>
          <t>avverkningsanmälan</t>
        </is>
      </c>
      <c r="C17" t="inlineStr">
        <is>
          <t>Föryngringsavverkning</t>
        </is>
      </c>
      <c r="D17" s="1" t="n">
        <v>46057</v>
      </c>
      <c r="E17" s="1" t="n">
        <v>46221</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s="2" t="inlineStr">
        <is>
          <t>Gullklöver</t>
        </is>
      </c>
      <c r="V17">
        <f>HYPERLINK("https://klasma.github.io/Logging_0191/artfynd/A 6893-2026 artfynd.xlsx", "A 6893-2026")</f>
        <v/>
      </c>
      <c r="W17">
        <f>HYPERLINK("https://klasma.github.io/Logging_0191/kartor/A 6893-2026 karta.png", "A 6893-2026")</f>
        <v/>
      </c>
      <c r="Y17">
        <f>HYPERLINK("https://klasma.github.io/Logging_0191/klagomål/A 6893-2026 FSC-klagomål.docx", "A 6893-2026")</f>
        <v/>
      </c>
      <c r="Z17">
        <f>HYPERLINK("https://klasma.github.io/Logging_0191/klagomålsmail/A 6893-2026 FSC-klagomål mail.docx", "A 6893-2026")</f>
        <v/>
      </c>
      <c r="AA17">
        <f>HYPERLINK("https://klasma.github.io/Logging_0191/tillsyn/A 6893-2026 tillsynsbegäran.docx", "A 6893-2026")</f>
        <v/>
      </c>
      <c r="AB17">
        <f>HYPERLINK("https://klasma.github.io/Logging_0191/tillsynsmail/A 6893-2026 tillsynsbegäran mail.docx", "A 6893-2026")</f>
        <v/>
      </c>
    </row>
    <row r="18" ht="15" customHeight="1">
      <c r="A18" t="inlineStr">
        <is>
          <t>A 46757-2023</t>
        </is>
      </c>
      <c r="B18" t="inlineStr">
        <is>
          <t>avverkningsanmälan</t>
        </is>
      </c>
      <c r="C18" t="inlineStr">
        <is>
          <t>Avverkning för annat ändamål</t>
        </is>
      </c>
      <c r="D18" s="1" t="n">
        <v>45198</v>
      </c>
      <c r="E18" s="1" t="n">
        <v>46221</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s="2" t="inlineStr">
        <is>
          <t>Gulsparv</t>
        </is>
      </c>
      <c r="V18">
        <f>HYPERLINK("https://klasma.github.io/Logging_0191/artfynd/A 46757-2023 artfynd.xlsx", "A 46757-2023")</f>
        <v/>
      </c>
      <c r="W18">
        <f>HYPERLINK("https://klasma.github.io/Logging_0191/kartor/A 46757-2023 karta.png", "A 46757-2023")</f>
        <v/>
      </c>
      <c r="Y18">
        <f>HYPERLINK("https://klasma.github.io/Logging_0191/klagomål/A 46757-2023 FSC-klagomål.docx", "A 46757-2023")</f>
        <v/>
      </c>
      <c r="Z18">
        <f>HYPERLINK("https://klasma.github.io/Logging_0191/klagomålsmail/A 46757-2023 FSC-klagomål mail.docx", "A 46757-2023")</f>
        <v/>
      </c>
      <c r="AA18">
        <f>HYPERLINK("https://klasma.github.io/Logging_0191/tillsyn/A 46757-2023 tillsynsbegäran.docx", "A 46757-2023")</f>
        <v/>
      </c>
      <c r="AB18">
        <f>HYPERLINK("https://klasma.github.io/Logging_0191/tillsynsmail/A 46757-2023 tillsynsbegäran mail.docx", "A 46757-2023")</f>
        <v/>
      </c>
      <c r="AC18">
        <f>HYPERLINK("https://klasma.github.io/Logging_0191/fåglar/A 46757-2023 prioriterade fågelarter.docx", "A 46757-2023")</f>
        <v/>
      </c>
    </row>
    <row r="19" ht="15" customHeight="1">
      <c r="A19" t="inlineStr">
        <is>
          <t>A 33751-2024</t>
        </is>
      </c>
      <c r="B19" t="inlineStr">
        <is>
          <t>avverkningsanmälan</t>
        </is>
      </c>
      <c r="C19" t="inlineStr">
        <is>
          <t>Avverkning för annat ändamål</t>
        </is>
      </c>
      <c r="D19" s="1" t="n">
        <v>45520</v>
      </c>
      <c r="E19" s="1" t="n">
        <v>46221</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s="2" t="inlineStr">
        <is>
          <t>Grönfink</t>
        </is>
      </c>
      <c r="V19">
        <f>HYPERLINK("https://klasma.github.io/Logging_0191/artfynd/A 33751-2024 artfynd.xlsx", "A 33751-2024")</f>
        <v/>
      </c>
      <c r="W19">
        <f>HYPERLINK("https://klasma.github.io/Logging_0191/kartor/A 33751-2024 karta.png", "A 33751-2024")</f>
        <v/>
      </c>
      <c r="Y19">
        <f>HYPERLINK("https://klasma.github.io/Logging_0191/klagomål/A 33751-2024 FSC-klagomål.docx", "A 33751-2024")</f>
        <v/>
      </c>
      <c r="Z19">
        <f>HYPERLINK("https://klasma.github.io/Logging_0191/klagomålsmail/A 33751-2024 FSC-klagomål mail.docx", "A 33751-2024")</f>
        <v/>
      </c>
      <c r="AA19">
        <f>HYPERLINK("https://klasma.github.io/Logging_0191/tillsyn/A 33751-2024 tillsynsbegäran.docx", "A 33751-2024")</f>
        <v/>
      </c>
      <c r="AB19">
        <f>HYPERLINK("https://klasma.github.io/Logging_0191/tillsynsmail/A 33751-2024 tillsynsbegäran mail.docx", "A 33751-2024")</f>
        <v/>
      </c>
      <c r="AC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46221</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s="2" t="inlineStr">
        <is>
          <t>Hornuggla</t>
        </is>
      </c>
      <c r="V20">
        <f>HYPERLINK("https://klasma.github.io/Logging_0191/artfynd/A 39716-2023 artfynd.xlsx", "A 39716-2023")</f>
        <v/>
      </c>
      <c r="W20">
        <f>HYPERLINK("https://klasma.github.io/Logging_0191/kartor/A 39716-2023 karta.png", "A 39716-2023")</f>
        <v/>
      </c>
      <c r="Y20">
        <f>HYPERLINK("https://klasma.github.io/Logging_0191/klagomål/A 39716-2023 FSC-klagomål.docx", "A 39716-2023")</f>
        <v/>
      </c>
      <c r="Z20">
        <f>HYPERLINK("https://klasma.github.io/Logging_0191/klagomålsmail/A 39716-2023 FSC-klagomål mail.docx", "A 39716-2023")</f>
        <v/>
      </c>
      <c r="AA20">
        <f>HYPERLINK("https://klasma.github.io/Logging_0191/tillsyn/A 39716-2023 tillsynsbegäran.docx", "A 39716-2023")</f>
        <v/>
      </c>
      <c r="AB20">
        <f>HYPERLINK("https://klasma.github.io/Logging_0191/tillsynsmail/A 39716-2023 tillsynsbegäran mail.docx", "A 39716-2023")</f>
        <v/>
      </c>
      <c r="AC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46221</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s="2" t="inlineStr">
        <is>
          <t>Trana</t>
        </is>
      </c>
      <c r="V21">
        <f>HYPERLINK("https://klasma.github.io/Logging_0191/artfynd/A 15452-2023 artfynd.xlsx", "A 15452-2023")</f>
        <v/>
      </c>
      <c r="W21">
        <f>HYPERLINK("https://klasma.github.io/Logging_0191/kartor/A 15452-2023 karta.png", "A 15452-2023")</f>
        <v/>
      </c>
      <c r="Y21">
        <f>HYPERLINK("https://klasma.github.io/Logging_0191/klagomål/A 15452-2023 FSC-klagomål.docx", "A 15452-2023")</f>
        <v/>
      </c>
      <c r="Z21">
        <f>HYPERLINK("https://klasma.github.io/Logging_0191/klagomålsmail/A 15452-2023 FSC-klagomål mail.docx", "A 15452-2023")</f>
        <v/>
      </c>
      <c r="AA21">
        <f>HYPERLINK("https://klasma.github.io/Logging_0191/tillsyn/A 15452-2023 tillsynsbegäran.docx", "A 15452-2023")</f>
        <v/>
      </c>
      <c r="AB21">
        <f>HYPERLINK("https://klasma.github.io/Logging_0191/tillsynsmail/A 15452-2023 tillsynsbegäran mail.docx", "A 15452-2023")</f>
        <v/>
      </c>
      <c r="AC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46221</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s="2" t="inlineStr"/>
    </row>
    <row r="23" ht="15" customHeight="1">
      <c r="A23" t="inlineStr">
        <is>
          <t>A 53462-2021</t>
        </is>
      </c>
      <c r="B23" t="inlineStr">
        <is>
          <t>avverkningsanmälan</t>
        </is>
      </c>
      <c r="C23" t="inlineStr">
        <is>
          <t>Föryngringsavverkning</t>
        </is>
      </c>
      <c r="D23" s="1" t="n">
        <v>44468</v>
      </c>
      <c r="E23" s="1" t="n">
        <v>46221</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s="2" t="inlineStr"/>
    </row>
    <row r="24" ht="15" customHeight="1">
      <c r="A24" t="inlineStr">
        <is>
          <t>A 53090-2021</t>
        </is>
      </c>
      <c r="B24" t="inlineStr">
        <is>
          <t>avverkningsanmälan</t>
        </is>
      </c>
      <c r="C24" t="inlineStr">
        <is>
          <t>Föryngringsavverkning</t>
        </is>
      </c>
      <c r="D24" s="1" t="n">
        <v>44467</v>
      </c>
      <c r="E24" s="1" t="n">
        <v>46221</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s="2" t="inlineStr"/>
    </row>
    <row r="25" ht="15" customHeight="1">
      <c r="A25" t="inlineStr">
        <is>
          <t>A 31697-2022</t>
        </is>
      </c>
      <c r="B25" t="inlineStr">
        <is>
          <t>avverkningsanmälan</t>
        </is>
      </c>
      <c r="C25" t="inlineStr">
        <is>
          <t>Avverkning för att bevara och utveckla /försöksver</t>
        </is>
      </c>
      <c r="D25" s="1" t="n">
        <v>44776</v>
      </c>
      <c r="E25" s="1" t="n">
        <v>46221</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s="2" t="inlineStr"/>
    </row>
    <row r="26" ht="15" customHeight="1">
      <c r="A26" t="inlineStr">
        <is>
          <t>A 9767-2022</t>
        </is>
      </c>
      <c r="B26" t="inlineStr">
        <is>
          <t>avverkningsanmälan</t>
        </is>
      </c>
      <c r="C26" t="inlineStr">
        <is>
          <t>Föryngringsavverkning</t>
        </is>
      </c>
      <c r="D26" s="1" t="n">
        <v>44619</v>
      </c>
      <c r="E26" s="1" t="n">
        <v>46221</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s="2" t="inlineStr"/>
    </row>
    <row r="27" ht="15" customHeight="1">
      <c r="A27" t="inlineStr">
        <is>
          <t>A 65340-2021</t>
        </is>
      </c>
      <c r="B27" t="inlineStr">
        <is>
          <t>avverkningsanmälan</t>
        </is>
      </c>
      <c r="C27" t="inlineStr">
        <is>
          <t>Avverkning för annat ändamål</t>
        </is>
      </c>
      <c r="D27" s="1" t="n">
        <v>44515</v>
      </c>
      <c r="E27" s="1" t="n">
        <v>46221</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s="2" t="inlineStr"/>
    </row>
    <row r="28" ht="15" customHeight="1">
      <c r="A28" t="inlineStr">
        <is>
          <t>A 55112-2021</t>
        </is>
      </c>
      <c r="B28" t="inlineStr">
        <is>
          <t>avverkningsanmälan</t>
        </is>
      </c>
      <c r="C28" t="inlineStr">
        <is>
          <t>Föryngringsavverkning</t>
        </is>
      </c>
      <c r="D28" s="1" t="n">
        <v>44474</v>
      </c>
      <c r="E28" s="1" t="n">
        <v>46221</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s="2" t="inlineStr"/>
    </row>
    <row r="29" ht="15" customHeight="1">
      <c r="A29" t="inlineStr">
        <is>
          <t>A 49592-2023</t>
        </is>
      </c>
      <c r="B29" t="inlineStr">
        <is>
          <t>avverkningsanmälan</t>
        </is>
      </c>
      <c r="C29" t="inlineStr">
        <is>
          <t>Föryngringsavverkning</t>
        </is>
      </c>
      <c r="D29" s="1" t="n">
        <v>45211</v>
      </c>
      <c r="E29" s="1" t="n">
        <v>46221</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s="2" t="inlineStr"/>
    </row>
    <row r="30" ht="15" customHeight="1">
      <c r="A30" t="inlineStr">
        <is>
          <t>A 58619-2023</t>
        </is>
      </c>
      <c r="B30" t="inlineStr">
        <is>
          <t>avverkningsanmälan</t>
        </is>
      </c>
      <c r="C30" t="inlineStr">
        <is>
          <t>Föryngringsavverkning</t>
        </is>
      </c>
      <c r="D30" s="1" t="n">
        <v>45251</v>
      </c>
      <c r="E30" s="1" t="n">
        <v>46221</v>
      </c>
      <c r="F30" t="inlineStr">
        <is>
          <t>STOCKHOLMS LÄN</t>
        </is>
      </c>
      <c r="G30" t="inlineStr">
        <is>
          <t>SIGTUNA</t>
        </is>
      </c>
      <c r="I30" t="n">
        <v>0.8</v>
      </c>
      <c r="J30" t="n">
        <v>0</v>
      </c>
      <c r="K30" t="n">
        <v>0</v>
      </c>
      <c r="L30" t="n">
        <v>0</v>
      </c>
      <c r="M30" t="n">
        <v>0</v>
      </c>
      <c r="N30" t="n">
        <v>0</v>
      </c>
      <c r="O30" t="n">
        <v>0</v>
      </c>
      <c r="P30" t="n">
        <v>0</v>
      </c>
      <c r="Q30" t="n">
        <v>0</v>
      </c>
      <c r="R30" t="n">
        <v>0</v>
      </c>
      <c r="S30" t="n">
        <v>0</v>
      </c>
      <c r="T30" t="n">
        <v>0</v>
      </c>
      <c r="U30" s="2" t="inlineStr"/>
    </row>
    <row r="31" ht="15" customHeight="1">
      <c r="A31" t="inlineStr">
        <is>
          <t>A 5142-2024</t>
        </is>
      </c>
      <c r="B31" t="inlineStr">
        <is>
          <t>avverkningsanmälan</t>
        </is>
      </c>
      <c r="C31" t="inlineStr">
        <is>
          <t>Avverkning för annat ändamål</t>
        </is>
      </c>
      <c r="D31" s="1" t="n">
        <v>45330</v>
      </c>
      <c r="E31" s="1" t="n">
        <v>46221</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s="2" t="inlineStr"/>
    </row>
    <row r="32" ht="15" customHeight="1">
      <c r="A32" t="inlineStr">
        <is>
          <t>A 59168-2022</t>
        </is>
      </c>
      <c r="B32" t="inlineStr">
        <is>
          <t>avverkningsanmälan</t>
        </is>
      </c>
      <c r="C32" t="inlineStr">
        <is>
          <t>Föryngringsavverkning</t>
        </is>
      </c>
      <c r="D32" s="1" t="n">
        <v>44904</v>
      </c>
      <c r="E32" s="1" t="n">
        <v>46221</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s="2" t="inlineStr"/>
    </row>
    <row r="33" ht="15" customHeight="1">
      <c r="A33" t="inlineStr">
        <is>
          <t>A 41702-2023</t>
        </is>
      </c>
      <c r="B33" t="inlineStr">
        <is>
          <t>avverkningsanmälan</t>
        </is>
      </c>
      <c r="C33" t="inlineStr">
        <is>
          <t>Föryngringsavverkning</t>
        </is>
      </c>
      <c r="D33" s="1" t="n">
        <v>45176</v>
      </c>
      <c r="E33" s="1" t="n">
        <v>46221</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s="2" t="inlineStr"/>
    </row>
    <row r="34" ht="15" customHeight="1">
      <c r="A34" t="inlineStr">
        <is>
          <t>A 38276-2023</t>
        </is>
      </c>
      <c r="B34" t="inlineStr">
        <is>
          <t>avverkningsanmälan</t>
        </is>
      </c>
      <c r="C34" t="inlineStr">
        <is>
          <t>Föryngringsavverkning</t>
        </is>
      </c>
      <c r="D34" s="1" t="n">
        <v>45160</v>
      </c>
      <c r="E34" s="1" t="n">
        <v>46221</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s="2" t="inlineStr"/>
    </row>
    <row r="35" ht="15" customHeight="1">
      <c r="A35" t="inlineStr">
        <is>
          <t>A 45233-2024</t>
        </is>
      </c>
      <c r="B35" t="inlineStr">
        <is>
          <t>avverkningsanmälan</t>
        </is>
      </c>
      <c r="C35" t="inlineStr">
        <is>
          <t>Föryngringsavverkning</t>
        </is>
      </c>
      <c r="D35" s="1" t="n">
        <v>45575</v>
      </c>
      <c r="E35" s="1" t="n">
        <v>46221</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s="2" t="inlineStr"/>
    </row>
    <row r="36" ht="15" customHeight="1">
      <c r="A36" t="inlineStr">
        <is>
          <t>A 20375-2023</t>
        </is>
      </c>
      <c r="B36" t="inlineStr">
        <is>
          <t>avverkningsanmälan</t>
        </is>
      </c>
      <c r="C36" t="inlineStr">
        <is>
          <t>Föryngringsavverkning</t>
        </is>
      </c>
      <c r="D36" s="1" t="n">
        <v>45054</v>
      </c>
      <c r="E36" s="1" t="n">
        <v>46221</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s="2" t="inlineStr"/>
    </row>
    <row r="37" ht="15" customHeight="1">
      <c r="A37" t="inlineStr">
        <is>
          <t>A 3673-2026</t>
        </is>
      </c>
      <c r="B37" t="inlineStr">
        <is>
          <t>avverkningsanmälan</t>
        </is>
      </c>
      <c r="C37" t="inlineStr">
        <is>
          <t>Föryngringsavverkning</t>
        </is>
      </c>
      <c r="D37" s="1" t="n">
        <v>46043</v>
      </c>
      <c r="E37" s="1" t="n">
        <v>46221</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s="2" t="inlineStr"/>
    </row>
    <row r="38" ht="15" customHeight="1">
      <c r="A38" t="inlineStr">
        <is>
          <t>A 51770-2023</t>
        </is>
      </c>
      <c r="B38" t="inlineStr">
        <is>
          <t>avverkningsanmälan</t>
        </is>
      </c>
      <c r="C38" t="inlineStr">
        <is>
          <t>Föryngringsavverkning</t>
        </is>
      </c>
      <c r="D38" s="1" t="n">
        <v>45222</v>
      </c>
      <c r="E38" s="1" t="n">
        <v>46221</v>
      </c>
      <c r="F38" t="inlineStr">
        <is>
          <t>STOCKHOLMS LÄN</t>
        </is>
      </c>
      <c r="G38" t="inlineStr">
        <is>
          <t>SIGTUNA</t>
        </is>
      </c>
      <c r="I38" t="n">
        <v>3.8</v>
      </c>
      <c r="J38" t="n">
        <v>0</v>
      </c>
      <c r="K38" t="n">
        <v>0</v>
      </c>
      <c r="L38" t="n">
        <v>0</v>
      </c>
      <c r="M38" t="n">
        <v>0</v>
      </c>
      <c r="N38" t="n">
        <v>0</v>
      </c>
      <c r="O38" t="n">
        <v>0</v>
      </c>
      <c r="P38" t="n">
        <v>0</v>
      </c>
      <c r="Q38" t="n">
        <v>0</v>
      </c>
      <c r="R38" t="n">
        <v>0</v>
      </c>
      <c r="S38" t="n">
        <v>0</v>
      </c>
      <c r="T38" t="n">
        <v>0</v>
      </c>
      <c r="U38" s="2" t="inlineStr"/>
    </row>
    <row r="39" ht="15" customHeight="1">
      <c r="A39" t="inlineStr">
        <is>
          <t>A 59165-2022</t>
        </is>
      </c>
      <c r="B39" t="inlineStr">
        <is>
          <t>avverkningsanmälan</t>
        </is>
      </c>
      <c r="C39" t="inlineStr">
        <is>
          <t>Föryngringsavverkning</t>
        </is>
      </c>
      <c r="D39" s="1" t="n">
        <v>44904</v>
      </c>
      <c r="E39" s="1" t="n">
        <v>46221</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s="2" t="inlineStr"/>
    </row>
    <row r="40" ht="15" customHeight="1">
      <c r="A40" t="inlineStr">
        <is>
          <t>A 4788-2026</t>
        </is>
      </c>
      <c r="B40" t="inlineStr">
        <is>
          <t>avverkningsanmälan</t>
        </is>
      </c>
      <c r="C40" t="inlineStr">
        <is>
          <t>Föryngringsavverkning</t>
        </is>
      </c>
      <c r="D40" s="1" t="n">
        <v>46048</v>
      </c>
      <c r="E40" s="1" t="n">
        <v>46221</v>
      </c>
      <c r="F40" t="inlineStr">
        <is>
          <t>STOCKHOLMS LÄN</t>
        </is>
      </c>
      <c r="G40" t="inlineStr">
        <is>
          <t>SIGTUNA</t>
        </is>
      </c>
      <c r="I40" t="n">
        <v>1.3</v>
      </c>
      <c r="J40" t="n">
        <v>0</v>
      </c>
      <c r="K40" t="n">
        <v>0</v>
      </c>
      <c r="L40" t="n">
        <v>0</v>
      </c>
      <c r="M40" t="n">
        <v>0</v>
      </c>
      <c r="N40" t="n">
        <v>0</v>
      </c>
      <c r="O40" t="n">
        <v>0</v>
      </c>
      <c r="P40" t="n">
        <v>0</v>
      </c>
      <c r="Q40" t="n">
        <v>0</v>
      </c>
      <c r="R40" t="n">
        <v>0</v>
      </c>
      <c r="S40" t="n">
        <v>0</v>
      </c>
      <c r="T40" t="n">
        <v>0</v>
      </c>
      <c r="U40" s="2" t="inlineStr"/>
    </row>
    <row r="41" ht="15" customHeight="1">
      <c r="A41" t="inlineStr">
        <is>
          <t>A 20960-2023</t>
        </is>
      </c>
      <c r="B41" t="inlineStr">
        <is>
          <t>avverkningsanmälan</t>
        </is>
      </c>
      <c r="C41" t="inlineStr">
        <is>
          <t>Föryngringsavverkning</t>
        </is>
      </c>
      <c r="D41" s="1" t="n">
        <v>45061</v>
      </c>
      <c r="E41" s="1" t="n">
        <v>46221</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s="2" t="inlineStr"/>
    </row>
    <row r="42" ht="15" customHeight="1">
      <c r="A42" t="inlineStr">
        <is>
          <t>A 28851-2022</t>
        </is>
      </c>
      <c r="B42" t="inlineStr">
        <is>
          <t>avverkningsanmälan</t>
        </is>
      </c>
      <c r="C42" t="inlineStr">
        <is>
          <t>Föryngringsavverkning</t>
        </is>
      </c>
      <c r="D42" s="1" t="n">
        <v>44749</v>
      </c>
      <c r="E42" s="1" t="n">
        <v>46221</v>
      </c>
      <c r="F42" t="inlineStr">
        <is>
          <t>STOCKHOLMS LÄN</t>
        </is>
      </c>
      <c r="G42" t="inlineStr">
        <is>
          <t>SIGTUNA</t>
        </is>
      </c>
      <c r="I42" t="n">
        <v>1.2</v>
      </c>
      <c r="J42" t="n">
        <v>0</v>
      </c>
      <c r="K42" t="n">
        <v>0</v>
      </c>
      <c r="L42" t="n">
        <v>0</v>
      </c>
      <c r="M42" t="n">
        <v>0</v>
      </c>
      <c r="N42" t="n">
        <v>0</v>
      </c>
      <c r="O42" t="n">
        <v>0</v>
      </c>
      <c r="P42" t="n">
        <v>0</v>
      </c>
      <c r="Q42" t="n">
        <v>0</v>
      </c>
      <c r="R42" t="n">
        <v>0</v>
      </c>
      <c r="S42" t="n">
        <v>0</v>
      </c>
      <c r="T42" t="n">
        <v>0</v>
      </c>
      <c r="U42" s="2" t="inlineStr"/>
    </row>
    <row r="43" ht="15" customHeight="1">
      <c r="A43" t="inlineStr">
        <is>
          <t>A 28681-2025</t>
        </is>
      </c>
      <c r="B43" t="inlineStr">
        <is>
          <t>avverkningsanmälan</t>
        </is>
      </c>
      <c r="C43" t="inlineStr">
        <is>
          <t>Föryngringsavverkning</t>
        </is>
      </c>
      <c r="D43" s="1" t="n">
        <v>45819</v>
      </c>
      <c r="E43" s="1" t="n">
        <v>46221</v>
      </c>
      <c r="F43" t="inlineStr">
        <is>
          <t>STOCKHOLMS LÄN</t>
        </is>
      </c>
      <c r="G43" t="inlineStr">
        <is>
          <t>SIGTUNA</t>
        </is>
      </c>
      <c r="I43" t="n">
        <v>7.5</v>
      </c>
      <c r="J43" t="n">
        <v>0</v>
      </c>
      <c r="K43" t="n">
        <v>0</v>
      </c>
      <c r="L43" t="n">
        <v>0</v>
      </c>
      <c r="M43" t="n">
        <v>0</v>
      </c>
      <c r="N43" t="n">
        <v>0</v>
      </c>
      <c r="O43" t="n">
        <v>0</v>
      </c>
      <c r="P43" t="n">
        <v>0</v>
      </c>
      <c r="Q43" t="n">
        <v>0</v>
      </c>
      <c r="R43" t="n">
        <v>0</v>
      </c>
      <c r="S43" t="n">
        <v>0</v>
      </c>
      <c r="T43" t="n">
        <v>0</v>
      </c>
      <c r="U43" s="2" t="inlineStr"/>
    </row>
    <row r="44" ht="15" customHeight="1">
      <c r="A44" t="inlineStr">
        <is>
          <t>A 47392-2025</t>
        </is>
      </c>
      <c r="B44" t="inlineStr">
        <is>
          <t>avverkningsanmälan</t>
        </is>
      </c>
      <c r="C44" t="inlineStr">
        <is>
          <t>Föryngringsavverkning</t>
        </is>
      </c>
      <c r="D44" s="1" t="n">
        <v>45930</v>
      </c>
      <c r="E44" s="1" t="n">
        <v>46221</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s="2" t="inlineStr"/>
    </row>
    <row r="45" ht="15" customHeight="1">
      <c r="A45" t="inlineStr">
        <is>
          <t>A 42572-2024</t>
        </is>
      </c>
      <c r="B45" t="inlineStr">
        <is>
          <t>avverkningsanmälan</t>
        </is>
      </c>
      <c r="C45" t="inlineStr">
        <is>
          <t>Föryngringsavverkning</t>
        </is>
      </c>
      <c r="D45" s="1" t="n">
        <v>45565</v>
      </c>
      <c r="E45" s="1" t="n">
        <v>46221</v>
      </c>
      <c r="F45" t="inlineStr">
        <is>
          <t>STOCKHOLMS LÄN</t>
        </is>
      </c>
      <c r="G45" t="inlineStr">
        <is>
          <t>SIGTUNA</t>
        </is>
      </c>
      <c r="I45" t="n">
        <v>2.3</v>
      </c>
      <c r="J45" t="n">
        <v>0</v>
      </c>
      <c r="K45" t="n">
        <v>0</v>
      </c>
      <c r="L45" t="n">
        <v>0</v>
      </c>
      <c r="M45" t="n">
        <v>0</v>
      </c>
      <c r="N45" t="n">
        <v>0</v>
      </c>
      <c r="O45" t="n">
        <v>0</v>
      </c>
      <c r="P45" t="n">
        <v>0</v>
      </c>
      <c r="Q45" t="n">
        <v>0</v>
      </c>
      <c r="R45" t="n">
        <v>0</v>
      </c>
      <c r="S45" t="n">
        <v>0</v>
      </c>
      <c r="T45" t="n">
        <v>0</v>
      </c>
      <c r="U45" s="2" t="inlineStr"/>
    </row>
    <row r="46" ht="15" customHeight="1">
      <c r="A46" t="inlineStr">
        <is>
          <t>A 56796-2022</t>
        </is>
      </c>
      <c r="B46" t="inlineStr">
        <is>
          <t>avverkningsanmälan</t>
        </is>
      </c>
      <c r="C46" t="inlineStr">
        <is>
          <t>Föryngringsavverkning</t>
        </is>
      </c>
      <c r="D46" s="1" t="n">
        <v>44894</v>
      </c>
      <c r="E46" s="1" t="n">
        <v>46221</v>
      </c>
      <c r="F46" t="inlineStr">
        <is>
          <t>STOCKHOLMS LÄN</t>
        </is>
      </c>
      <c r="G46" t="inlineStr">
        <is>
          <t>SIGTUNA</t>
        </is>
      </c>
      <c r="I46" t="n">
        <v>5.2</v>
      </c>
      <c r="J46" t="n">
        <v>0</v>
      </c>
      <c r="K46" t="n">
        <v>0</v>
      </c>
      <c r="L46" t="n">
        <v>0</v>
      </c>
      <c r="M46" t="n">
        <v>0</v>
      </c>
      <c r="N46" t="n">
        <v>0</v>
      </c>
      <c r="O46" t="n">
        <v>0</v>
      </c>
      <c r="P46" t="n">
        <v>0</v>
      </c>
      <c r="Q46" t="n">
        <v>0</v>
      </c>
      <c r="R46" t="n">
        <v>0</v>
      </c>
      <c r="S46" t="n">
        <v>0</v>
      </c>
      <c r="T46" t="n">
        <v>0</v>
      </c>
      <c r="U46" s="2" t="inlineStr"/>
    </row>
    <row r="47" ht="15" customHeight="1">
      <c r="A47" t="inlineStr">
        <is>
          <t>A 7229-2026</t>
        </is>
      </c>
      <c r="B47" t="inlineStr">
        <is>
          <t>avverkningsanmälan</t>
        </is>
      </c>
      <c r="C47" t="inlineStr">
        <is>
          <t>Föryngringsavverkning</t>
        </is>
      </c>
      <c r="D47" s="1" t="n">
        <v>46058</v>
      </c>
      <c r="E47" s="1" t="n">
        <v>46221</v>
      </c>
      <c r="F47" t="inlineStr">
        <is>
          <t>STOCKHOLMS LÄN</t>
        </is>
      </c>
      <c r="G47" t="inlineStr">
        <is>
          <t>SIGTUNA</t>
        </is>
      </c>
      <c r="I47" t="n">
        <v>3.8</v>
      </c>
      <c r="J47" t="n">
        <v>0</v>
      </c>
      <c r="K47" t="n">
        <v>0</v>
      </c>
      <c r="L47" t="n">
        <v>0</v>
      </c>
      <c r="M47" t="n">
        <v>0</v>
      </c>
      <c r="N47" t="n">
        <v>0</v>
      </c>
      <c r="O47" t="n">
        <v>0</v>
      </c>
      <c r="P47" t="n">
        <v>0</v>
      </c>
      <c r="Q47" t="n">
        <v>0</v>
      </c>
      <c r="R47" t="n">
        <v>0</v>
      </c>
      <c r="S47" t="n">
        <v>0</v>
      </c>
      <c r="T47" t="n">
        <v>0</v>
      </c>
      <c r="U47" s="2" t="inlineStr"/>
    </row>
    <row r="48" ht="15" customHeight="1">
      <c r="A48" t="inlineStr">
        <is>
          <t>A 49916-2025</t>
        </is>
      </c>
      <c r="B48" t="inlineStr">
        <is>
          <t>avverkningsanmälan</t>
        </is>
      </c>
      <c r="C48" t="inlineStr">
        <is>
          <t>Föryngringsavverkning</t>
        </is>
      </c>
      <c r="D48" s="1" t="n">
        <v>45940</v>
      </c>
      <c r="E48" s="1" t="n">
        <v>46221</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s="2" t="inlineStr"/>
    </row>
    <row r="49" ht="15" customHeight="1">
      <c r="A49" t="inlineStr">
        <is>
          <t>A 7833-2026</t>
        </is>
      </c>
      <c r="B49" t="inlineStr">
        <is>
          <t>avverkningsanmälan</t>
        </is>
      </c>
      <c r="C49" t="inlineStr">
        <is>
          <t>Föryngringsavverkning</t>
        </is>
      </c>
      <c r="D49" s="1" t="n">
        <v>46062</v>
      </c>
      <c r="E49" s="1" t="n">
        <v>46221</v>
      </c>
      <c r="F49" t="inlineStr">
        <is>
          <t>STOCKHOLMS LÄN</t>
        </is>
      </c>
      <c r="G49" t="inlineStr">
        <is>
          <t>SIGTUNA</t>
        </is>
      </c>
      <c r="I49" t="n">
        <v>0.6</v>
      </c>
      <c r="J49" t="n">
        <v>0</v>
      </c>
      <c r="K49" t="n">
        <v>0</v>
      </c>
      <c r="L49" t="n">
        <v>0</v>
      </c>
      <c r="M49" t="n">
        <v>0</v>
      </c>
      <c r="N49" t="n">
        <v>0</v>
      </c>
      <c r="O49" t="n">
        <v>0</v>
      </c>
      <c r="P49" t="n">
        <v>0</v>
      </c>
      <c r="Q49" t="n">
        <v>0</v>
      </c>
      <c r="R49" t="n">
        <v>0</v>
      </c>
      <c r="S49" t="n">
        <v>0</v>
      </c>
      <c r="T49" t="n">
        <v>0</v>
      </c>
      <c r="U49" s="2" t="inlineStr"/>
    </row>
    <row r="50" ht="15" customHeight="1">
      <c r="A50" t="inlineStr">
        <is>
          <t>A 10790-2023</t>
        </is>
      </c>
      <c r="B50" t="inlineStr">
        <is>
          <t>avverkningsanmälan</t>
        </is>
      </c>
      <c r="C50" t="inlineStr">
        <is>
          <t>Föryngringsavverkning</t>
        </is>
      </c>
      <c r="D50" s="1" t="n">
        <v>44989</v>
      </c>
      <c r="E50" s="1" t="n">
        <v>46221</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s="2" t="inlineStr"/>
    </row>
    <row r="51" ht="15" customHeight="1">
      <c r="A51" t="inlineStr">
        <is>
          <t>A 25452-2023</t>
        </is>
      </c>
      <c r="B51" t="inlineStr">
        <is>
          <t>avverkningsanmälan</t>
        </is>
      </c>
      <c r="C51" t="inlineStr">
        <is>
          <t>Föryngringsavverkning</t>
        </is>
      </c>
      <c r="D51" s="1" t="n">
        <v>45089</v>
      </c>
      <c r="E51" s="1" t="n">
        <v>46221</v>
      </c>
      <c r="F51" t="inlineStr">
        <is>
          <t>STOCKHOLMS LÄN</t>
        </is>
      </c>
      <c r="G51" t="inlineStr">
        <is>
          <t>SIGTUNA</t>
        </is>
      </c>
      <c r="H51" t="inlineStr">
        <is>
          <t>Sveaskog</t>
        </is>
      </c>
      <c r="I51" t="n">
        <v>0.7</v>
      </c>
      <c r="J51" t="n">
        <v>0</v>
      </c>
      <c r="K51" t="n">
        <v>0</v>
      </c>
      <c r="L51" t="n">
        <v>0</v>
      </c>
      <c r="M51" t="n">
        <v>0</v>
      </c>
      <c r="N51" t="n">
        <v>0</v>
      </c>
      <c r="O51" t="n">
        <v>0</v>
      </c>
      <c r="P51" t="n">
        <v>0</v>
      </c>
      <c r="Q51" t="n">
        <v>0</v>
      </c>
      <c r="R51" t="n">
        <v>0</v>
      </c>
      <c r="S51" t="n">
        <v>0</v>
      </c>
      <c r="T51" t="n">
        <v>0</v>
      </c>
      <c r="U51" s="2" t="inlineStr"/>
    </row>
    <row r="52" ht="15" customHeight="1">
      <c r="A52" t="inlineStr">
        <is>
          <t>A 25459-2023</t>
        </is>
      </c>
      <c r="B52" t="inlineStr">
        <is>
          <t>avverkningsanmälan</t>
        </is>
      </c>
      <c r="C52" t="inlineStr">
        <is>
          <t>Föryngringsavverkning</t>
        </is>
      </c>
      <c r="D52" s="1" t="n">
        <v>45089</v>
      </c>
      <c r="E52" s="1" t="n">
        <v>46221</v>
      </c>
      <c r="F52" t="inlineStr">
        <is>
          <t>STOCKHOLMS LÄN</t>
        </is>
      </c>
      <c r="G52" t="inlineStr">
        <is>
          <t>SIGTUNA</t>
        </is>
      </c>
      <c r="H52" t="inlineStr">
        <is>
          <t>Sveaskog</t>
        </is>
      </c>
      <c r="I52" t="n">
        <v>0.6</v>
      </c>
      <c r="J52" t="n">
        <v>0</v>
      </c>
      <c r="K52" t="n">
        <v>0</v>
      </c>
      <c r="L52" t="n">
        <v>0</v>
      </c>
      <c r="M52" t="n">
        <v>0</v>
      </c>
      <c r="N52" t="n">
        <v>0</v>
      </c>
      <c r="O52" t="n">
        <v>0</v>
      </c>
      <c r="P52" t="n">
        <v>0</v>
      </c>
      <c r="Q52" t="n">
        <v>0</v>
      </c>
      <c r="R52" t="n">
        <v>0</v>
      </c>
      <c r="S52" t="n">
        <v>0</v>
      </c>
      <c r="T52" t="n">
        <v>0</v>
      </c>
      <c r="U52" s="2" t="inlineStr"/>
    </row>
    <row r="53" ht="15" customHeight="1">
      <c r="A53" t="inlineStr">
        <is>
          <t>A 61937-2021</t>
        </is>
      </c>
      <c r="B53" t="inlineStr">
        <is>
          <t>avverkningsanmälan</t>
        </is>
      </c>
      <c r="C53" t="inlineStr">
        <is>
          <t>Avverkning för annat ändamål</t>
        </is>
      </c>
      <c r="D53" s="1" t="n">
        <v>44502</v>
      </c>
      <c r="E53" s="1" t="n">
        <v>46221</v>
      </c>
      <c r="F53" t="inlineStr">
        <is>
          <t>STOCKHOLMS LÄN</t>
        </is>
      </c>
      <c r="G53" t="inlineStr">
        <is>
          <t>SIGTUNA</t>
        </is>
      </c>
      <c r="I53" t="n">
        <v>14.7</v>
      </c>
      <c r="J53" t="n">
        <v>0</v>
      </c>
      <c r="K53" t="n">
        <v>0</v>
      </c>
      <c r="L53" t="n">
        <v>0</v>
      </c>
      <c r="M53" t="n">
        <v>0</v>
      </c>
      <c r="N53" t="n">
        <v>0</v>
      </c>
      <c r="O53" t="n">
        <v>0</v>
      </c>
      <c r="P53" t="n">
        <v>0</v>
      </c>
      <c r="Q53" t="n">
        <v>0</v>
      </c>
      <c r="R53" t="n">
        <v>0</v>
      </c>
      <c r="S53" t="n">
        <v>0</v>
      </c>
      <c r="T53" t="n">
        <v>0</v>
      </c>
      <c r="U53" s="2" t="inlineStr"/>
    </row>
    <row r="54" ht="15" customHeight="1">
      <c r="A54" t="inlineStr">
        <is>
          <t>A 12052-2026</t>
        </is>
      </c>
      <c r="B54" t="inlineStr">
        <is>
          <t>avverkningsanmälan</t>
        </is>
      </c>
      <c r="C54" t="inlineStr">
        <is>
          <t>Föryngringsavverkning</t>
        </is>
      </c>
      <c r="D54" s="1" t="n">
        <v>46086</v>
      </c>
      <c r="E54" s="1" t="n">
        <v>46221</v>
      </c>
      <c r="F54" t="inlineStr">
        <is>
          <t>STOCKHOLMS LÄN</t>
        </is>
      </c>
      <c r="G54" t="inlineStr">
        <is>
          <t>SIGTUNA</t>
        </is>
      </c>
      <c r="I54" t="n">
        <v>0.9</v>
      </c>
      <c r="J54" t="n">
        <v>0</v>
      </c>
      <c r="K54" t="n">
        <v>0</v>
      </c>
      <c r="L54" t="n">
        <v>0</v>
      </c>
      <c r="M54" t="n">
        <v>0</v>
      </c>
      <c r="N54" t="n">
        <v>0</v>
      </c>
      <c r="O54" t="n">
        <v>0</v>
      </c>
      <c r="P54" t="n">
        <v>0</v>
      </c>
      <c r="Q54" t="n">
        <v>0</v>
      </c>
      <c r="R54" t="n">
        <v>0</v>
      </c>
      <c r="S54" t="n">
        <v>0</v>
      </c>
      <c r="T54" t="n">
        <v>0</v>
      </c>
      <c r="U54" s="2" t="inlineStr"/>
    </row>
    <row r="55" ht="15" customHeight="1">
      <c r="A55" t="inlineStr">
        <is>
          <t>A 60935-2023</t>
        </is>
      </c>
      <c r="B55" t="inlineStr">
        <is>
          <t>avverkningsanmälan</t>
        </is>
      </c>
      <c r="C55" t="inlineStr">
        <is>
          <t>Föryngringsavverkning</t>
        </is>
      </c>
      <c r="D55" s="1" t="n">
        <v>45261</v>
      </c>
      <c r="E55" s="1" t="n">
        <v>46221</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s="2" t="inlineStr"/>
    </row>
    <row r="56" ht="15" customHeight="1">
      <c r="A56" t="inlineStr">
        <is>
          <t>A 13662-2026</t>
        </is>
      </c>
      <c r="B56" t="inlineStr">
        <is>
          <t>avverkningsanmälan</t>
        </is>
      </c>
      <c r="C56" t="inlineStr">
        <is>
          <t>Föryngringsavverkning</t>
        </is>
      </c>
      <c r="D56" s="1" t="n">
        <v>46097</v>
      </c>
      <c r="E56" s="1" t="n">
        <v>46221</v>
      </c>
      <c r="F56" t="inlineStr">
        <is>
          <t>STOCKHOLMS LÄN</t>
        </is>
      </c>
      <c r="G56" t="inlineStr">
        <is>
          <t>SIGTUNA</t>
        </is>
      </c>
      <c r="I56" t="n">
        <v>1</v>
      </c>
      <c r="J56" t="n">
        <v>0</v>
      </c>
      <c r="K56" t="n">
        <v>0</v>
      </c>
      <c r="L56" t="n">
        <v>0</v>
      </c>
      <c r="M56" t="n">
        <v>0</v>
      </c>
      <c r="N56" t="n">
        <v>0</v>
      </c>
      <c r="O56" t="n">
        <v>0</v>
      </c>
      <c r="P56" t="n">
        <v>0</v>
      </c>
      <c r="Q56" t="n">
        <v>0</v>
      </c>
      <c r="R56" t="n">
        <v>0</v>
      </c>
      <c r="S56" t="n">
        <v>0</v>
      </c>
      <c r="T56" t="n">
        <v>0</v>
      </c>
      <c r="U56" s="2" t="inlineStr"/>
    </row>
    <row r="57" ht="15" customHeight="1">
      <c r="A57" t="inlineStr">
        <is>
          <t>A 20957-2023</t>
        </is>
      </c>
      <c r="B57" t="inlineStr">
        <is>
          <t>avverkningsanmälan</t>
        </is>
      </c>
      <c r="C57" t="inlineStr">
        <is>
          <t>Föryngringsavverkning</t>
        </is>
      </c>
      <c r="D57" s="1" t="n">
        <v>45061</v>
      </c>
      <c r="E57" s="1" t="n">
        <v>46221</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s="2" t="inlineStr"/>
    </row>
    <row r="58" ht="15" customHeight="1">
      <c r="A58" t="inlineStr">
        <is>
          <t>A 60969-2025</t>
        </is>
      </c>
      <c r="B58" t="inlineStr">
        <is>
          <t>avverkningsanmälan</t>
        </is>
      </c>
      <c r="C58" t="inlineStr">
        <is>
          <t>Föryngringsavverkning</t>
        </is>
      </c>
      <c r="D58" s="1" t="n">
        <v>45996</v>
      </c>
      <c r="E58" s="1" t="n">
        <v>46221</v>
      </c>
      <c r="F58" t="inlineStr">
        <is>
          <t>STOCKHOLMS LÄN</t>
        </is>
      </c>
      <c r="G58" t="inlineStr">
        <is>
          <t>SIGTUNA</t>
        </is>
      </c>
      <c r="I58" t="n">
        <v>8.800000000000001</v>
      </c>
      <c r="J58" t="n">
        <v>0</v>
      </c>
      <c r="K58" t="n">
        <v>0</v>
      </c>
      <c r="L58" t="n">
        <v>0</v>
      </c>
      <c r="M58" t="n">
        <v>0</v>
      </c>
      <c r="N58" t="n">
        <v>0</v>
      </c>
      <c r="O58" t="n">
        <v>0</v>
      </c>
      <c r="P58" t="n">
        <v>0</v>
      </c>
      <c r="Q58" t="n">
        <v>0</v>
      </c>
      <c r="R58" t="n">
        <v>0</v>
      </c>
      <c r="S58" t="n">
        <v>0</v>
      </c>
      <c r="T58" t="n">
        <v>0</v>
      </c>
      <c r="U58" s="2" t="inlineStr"/>
    </row>
    <row r="59" ht="15" customHeight="1">
      <c r="A59" t="inlineStr">
        <is>
          <t>A 60949-2025</t>
        </is>
      </c>
      <c r="B59" t="inlineStr">
        <is>
          <t>avverkningsanmälan</t>
        </is>
      </c>
      <c r="C59" t="inlineStr">
        <is>
          <t>Föryngringsavverkning</t>
        </is>
      </c>
      <c r="D59" s="1" t="n">
        <v>45996</v>
      </c>
      <c r="E59" s="1" t="n">
        <v>46221</v>
      </c>
      <c r="F59" t="inlineStr">
        <is>
          <t>STOCKHOLMS LÄN</t>
        </is>
      </c>
      <c r="G59" t="inlineStr">
        <is>
          <t>SIGTUNA</t>
        </is>
      </c>
      <c r="I59" t="n">
        <v>21.9</v>
      </c>
      <c r="J59" t="n">
        <v>0</v>
      </c>
      <c r="K59" t="n">
        <v>0</v>
      </c>
      <c r="L59" t="n">
        <v>0</v>
      </c>
      <c r="M59" t="n">
        <v>0</v>
      </c>
      <c r="N59" t="n">
        <v>0</v>
      </c>
      <c r="O59" t="n">
        <v>0</v>
      </c>
      <c r="P59" t="n">
        <v>0</v>
      </c>
      <c r="Q59" t="n">
        <v>0</v>
      </c>
      <c r="R59" t="n">
        <v>0</v>
      </c>
      <c r="S59" t="n">
        <v>0</v>
      </c>
      <c r="T59" t="n">
        <v>0</v>
      </c>
      <c r="U59" s="2" t="inlineStr"/>
    </row>
    <row r="60" ht="15" customHeight="1">
      <c r="A60" t="inlineStr">
        <is>
          <t>A 43700-2023</t>
        </is>
      </c>
      <c r="B60" t="inlineStr">
        <is>
          <t>avverkningsanmälan</t>
        </is>
      </c>
      <c r="C60" t="inlineStr">
        <is>
          <t>Föryngringsavverkning</t>
        </is>
      </c>
      <c r="D60" s="1" t="n">
        <v>45187</v>
      </c>
      <c r="E60" s="1" t="n">
        <v>46221</v>
      </c>
      <c r="F60" t="inlineStr">
        <is>
          <t>STOCKHOLMS LÄN</t>
        </is>
      </c>
      <c r="G60" t="inlineStr">
        <is>
          <t>SIGTUNA</t>
        </is>
      </c>
      <c r="I60" t="n">
        <v>1.5</v>
      </c>
      <c r="J60" t="n">
        <v>0</v>
      </c>
      <c r="K60" t="n">
        <v>0</v>
      </c>
      <c r="L60" t="n">
        <v>0</v>
      </c>
      <c r="M60" t="n">
        <v>0</v>
      </c>
      <c r="N60" t="n">
        <v>0</v>
      </c>
      <c r="O60" t="n">
        <v>0</v>
      </c>
      <c r="P60" t="n">
        <v>0</v>
      </c>
      <c r="Q60" t="n">
        <v>0</v>
      </c>
      <c r="R60" t="n">
        <v>0</v>
      </c>
      <c r="S60" t="n">
        <v>0</v>
      </c>
      <c r="T60" t="n">
        <v>0</v>
      </c>
      <c r="U60" s="2" t="inlineStr"/>
    </row>
    <row r="61" ht="15" customHeight="1">
      <c r="A61" t="inlineStr">
        <is>
          <t>A 72530-2021</t>
        </is>
      </c>
      <c r="B61" t="inlineStr">
        <is>
          <t>avverkningsanmälan</t>
        </is>
      </c>
      <c r="C61" t="inlineStr">
        <is>
          <t>Avverkning för annat ändamål</t>
        </is>
      </c>
      <c r="D61" s="1" t="n">
        <v>44546</v>
      </c>
      <c r="E61" s="1" t="n">
        <v>46221</v>
      </c>
      <c r="F61" t="inlineStr">
        <is>
          <t>STOCKHOLMS LÄN</t>
        </is>
      </c>
      <c r="G61" t="inlineStr">
        <is>
          <t>SIGTUNA</t>
        </is>
      </c>
      <c r="I61" t="n">
        <v>2</v>
      </c>
      <c r="J61" t="n">
        <v>0</v>
      </c>
      <c r="K61" t="n">
        <v>0</v>
      </c>
      <c r="L61" t="n">
        <v>0</v>
      </c>
      <c r="M61" t="n">
        <v>0</v>
      </c>
      <c r="N61" t="n">
        <v>0</v>
      </c>
      <c r="O61" t="n">
        <v>0</v>
      </c>
      <c r="P61" t="n">
        <v>0</v>
      </c>
      <c r="Q61" t="n">
        <v>0</v>
      </c>
      <c r="R61" t="n">
        <v>0</v>
      </c>
      <c r="S61" t="n">
        <v>0</v>
      </c>
      <c r="T61" t="n">
        <v>0</v>
      </c>
      <c r="U61" s="2" t="inlineStr"/>
    </row>
    <row r="62" ht="15" customHeight="1">
      <c r="A62" t="inlineStr">
        <is>
          <t>A 74170-2021</t>
        </is>
      </c>
      <c r="B62" t="inlineStr">
        <is>
          <t>avverkningsanmälan</t>
        </is>
      </c>
      <c r="C62" t="inlineStr">
        <is>
          <t>Föryngringsavverkning</t>
        </is>
      </c>
      <c r="D62" s="1" t="n">
        <v>44557</v>
      </c>
      <c r="E62" s="1" t="n">
        <v>46221</v>
      </c>
      <c r="F62" t="inlineStr">
        <is>
          <t>STOCKHOLMS LÄN</t>
        </is>
      </c>
      <c r="G62" t="inlineStr">
        <is>
          <t>SIGTUNA</t>
        </is>
      </c>
      <c r="I62" t="n">
        <v>1.1</v>
      </c>
      <c r="J62" t="n">
        <v>0</v>
      </c>
      <c r="K62" t="n">
        <v>0</v>
      </c>
      <c r="L62" t="n">
        <v>0</v>
      </c>
      <c r="M62" t="n">
        <v>0</v>
      </c>
      <c r="N62" t="n">
        <v>0</v>
      </c>
      <c r="O62" t="n">
        <v>0</v>
      </c>
      <c r="P62" t="n">
        <v>0</v>
      </c>
      <c r="Q62" t="n">
        <v>0</v>
      </c>
      <c r="R62" t="n">
        <v>0</v>
      </c>
      <c r="S62" t="n">
        <v>0</v>
      </c>
      <c r="T62" t="n">
        <v>0</v>
      </c>
      <c r="U62" s="2" t="inlineStr"/>
    </row>
    <row r="63" ht="15" customHeight="1">
      <c r="A63" t="inlineStr">
        <is>
          <t>A 17320-2023</t>
        </is>
      </c>
      <c r="B63" t="inlineStr">
        <is>
          <t>avverkningsanmälan</t>
        </is>
      </c>
      <c r="C63" t="inlineStr">
        <is>
          <t>Föryngringsavverkning</t>
        </is>
      </c>
      <c r="D63" s="1" t="n">
        <v>45035</v>
      </c>
      <c r="E63" s="1" t="n">
        <v>46221</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s="2" t="inlineStr"/>
    </row>
    <row r="64" ht="15" customHeight="1">
      <c r="A64" t="inlineStr">
        <is>
          <t>A 7214-2022</t>
        </is>
      </c>
      <c r="B64" t="inlineStr">
        <is>
          <t>avverkningsanmälan</t>
        </is>
      </c>
      <c r="C64" t="inlineStr">
        <is>
          <t>Föryngringsavverkning</t>
        </is>
      </c>
      <c r="D64" s="1" t="n">
        <v>44606</v>
      </c>
      <c r="E64" s="1" t="n">
        <v>46221</v>
      </c>
      <c r="F64" t="inlineStr">
        <is>
          <t>STOCKHOLMS LÄN</t>
        </is>
      </c>
      <c r="G64" t="inlineStr">
        <is>
          <t>SIGTUNA</t>
        </is>
      </c>
      <c r="I64" t="n">
        <v>1.5</v>
      </c>
      <c r="J64" t="n">
        <v>0</v>
      </c>
      <c r="K64" t="n">
        <v>0</v>
      </c>
      <c r="L64" t="n">
        <v>0</v>
      </c>
      <c r="M64" t="n">
        <v>0</v>
      </c>
      <c r="N64" t="n">
        <v>0</v>
      </c>
      <c r="O64" t="n">
        <v>0</v>
      </c>
      <c r="P64" t="n">
        <v>0</v>
      </c>
      <c r="Q64" t="n">
        <v>0</v>
      </c>
      <c r="R64" t="n">
        <v>0</v>
      </c>
      <c r="S64" t="n">
        <v>0</v>
      </c>
      <c r="T64" t="n">
        <v>0</v>
      </c>
      <c r="U64" s="2" t="inlineStr"/>
    </row>
    <row r="65" ht="15" customHeight="1">
      <c r="A65" t="inlineStr">
        <is>
          <t>A 45319-2023</t>
        </is>
      </c>
      <c r="B65" t="inlineStr">
        <is>
          <t>avverkningsanmälan</t>
        </is>
      </c>
      <c r="C65" t="inlineStr">
        <is>
          <t>Föryngringsavverkning</t>
        </is>
      </c>
      <c r="D65" s="1" t="n">
        <v>45191</v>
      </c>
      <c r="E65" s="1" t="n">
        <v>46221</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s="2" t="inlineStr"/>
    </row>
    <row r="66" ht="15" customHeight="1">
      <c r="A66" t="inlineStr">
        <is>
          <t>A 17286-2022</t>
        </is>
      </c>
      <c r="B66" t="inlineStr">
        <is>
          <t>avverkningsanmälan</t>
        </is>
      </c>
      <c r="C66" t="inlineStr">
        <is>
          <t>Avverkning för annat ändamål</t>
        </is>
      </c>
      <c r="D66" s="1" t="n">
        <v>44678</v>
      </c>
      <c r="E66" s="1" t="n">
        <v>46221</v>
      </c>
      <c r="F66" t="inlineStr">
        <is>
          <t>STOCKHOLMS LÄN</t>
        </is>
      </c>
      <c r="G66" t="inlineStr">
        <is>
          <t>SIGTUNA</t>
        </is>
      </c>
      <c r="I66" t="n">
        <v>3.6</v>
      </c>
      <c r="J66" t="n">
        <v>0</v>
      </c>
      <c r="K66" t="n">
        <v>0</v>
      </c>
      <c r="L66" t="n">
        <v>0</v>
      </c>
      <c r="M66" t="n">
        <v>0</v>
      </c>
      <c r="N66" t="n">
        <v>0</v>
      </c>
      <c r="O66" t="n">
        <v>0</v>
      </c>
      <c r="P66" t="n">
        <v>0</v>
      </c>
      <c r="Q66" t="n">
        <v>0</v>
      </c>
      <c r="R66" t="n">
        <v>0</v>
      </c>
      <c r="S66" t="n">
        <v>0</v>
      </c>
      <c r="T66" t="n">
        <v>0</v>
      </c>
      <c r="U66" s="2" t="inlineStr"/>
    </row>
    <row r="67" ht="15" customHeight="1">
      <c r="A67" t="inlineStr">
        <is>
          <t>A 28752-2024</t>
        </is>
      </c>
      <c r="B67" t="inlineStr">
        <is>
          <t>avverkningsanmälan</t>
        </is>
      </c>
      <c r="C67" t="inlineStr">
        <is>
          <t>Föryngringsavverkning</t>
        </is>
      </c>
      <c r="D67" s="1" t="n">
        <v>45478</v>
      </c>
      <c r="E67" s="1" t="n">
        <v>46221</v>
      </c>
      <c r="F67" t="inlineStr">
        <is>
          <t>STOCKHOLMS LÄN</t>
        </is>
      </c>
      <c r="G67" t="inlineStr">
        <is>
          <t>SIGTUNA</t>
        </is>
      </c>
      <c r="I67" t="n">
        <v>1.7</v>
      </c>
      <c r="J67" t="n">
        <v>0</v>
      </c>
      <c r="K67" t="n">
        <v>0</v>
      </c>
      <c r="L67" t="n">
        <v>0</v>
      </c>
      <c r="M67" t="n">
        <v>0</v>
      </c>
      <c r="N67" t="n">
        <v>0</v>
      </c>
      <c r="O67" t="n">
        <v>0</v>
      </c>
      <c r="P67" t="n">
        <v>0</v>
      </c>
      <c r="Q67" t="n">
        <v>0</v>
      </c>
      <c r="R67" t="n">
        <v>0</v>
      </c>
      <c r="S67" t="n">
        <v>0</v>
      </c>
      <c r="T67" t="n">
        <v>0</v>
      </c>
      <c r="U67" s="2" t="inlineStr"/>
    </row>
    <row r="68" ht="15" customHeight="1">
      <c r="A68" t="inlineStr">
        <is>
          <t>A 862-2022</t>
        </is>
      </c>
      <c r="B68" t="inlineStr">
        <is>
          <t>avverkningsanmälan</t>
        </is>
      </c>
      <c r="C68" t="inlineStr">
        <is>
          <t>Avverkning för annat ändamål</t>
        </is>
      </c>
      <c r="D68" s="1" t="n">
        <v>44571</v>
      </c>
      <c r="E68" s="1" t="n">
        <v>46221</v>
      </c>
      <c r="F68" t="inlineStr">
        <is>
          <t>STOCKHOLMS LÄN</t>
        </is>
      </c>
      <c r="G68" t="inlineStr">
        <is>
          <t>SIGTUNA</t>
        </is>
      </c>
      <c r="I68" t="n">
        <v>2.4</v>
      </c>
      <c r="J68" t="n">
        <v>0</v>
      </c>
      <c r="K68" t="n">
        <v>0</v>
      </c>
      <c r="L68" t="n">
        <v>0</v>
      </c>
      <c r="M68" t="n">
        <v>0</v>
      </c>
      <c r="N68" t="n">
        <v>0</v>
      </c>
      <c r="O68" t="n">
        <v>0</v>
      </c>
      <c r="P68" t="n">
        <v>0</v>
      </c>
      <c r="Q68" t="n">
        <v>0</v>
      </c>
      <c r="R68" t="n">
        <v>0</v>
      </c>
      <c r="S68" t="n">
        <v>0</v>
      </c>
      <c r="T68" t="n">
        <v>0</v>
      </c>
      <c r="U68" s="2" t="inlineStr"/>
    </row>
    <row r="69" ht="15" customHeight="1">
      <c r="A69" t="inlineStr">
        <is>
          <t>A 24636-2023</t>
        </is>
      </c>
      <c r="B69" t="inlineStr">
        <is>
          <t>avverkningsanmälan</t>
        </is>
      </c>
      <c r="C69" t="inlineStr">
        <is>
          <t>Föryngringsavverkning</t>
        </is>
      </c>
      <c r="D69" s="1" t="n">
        <v>45084</v>
      </c>
      <c r="E69" s="1" t="n">
        <v>46221</v>
      </c>
      <c r="F69" t="inlineStr">
        <is>
          <t>STOCKHOLMS LÄN</t>
        </is>
      </c>
      <c r="G69" t="inlineStr">
        <is>
          <t>SIGTUNA</t>
        </is>
      </c>
      <c r="I69" t="n">
        <v>0.9</v>
      </c>
      <c r="J69" t="n">
        <v>0</v>
      </c>
      <c r="K69" t="n">
        <v>0</v>
      </c>
      <c r="L69" t="n">
        <v>0</v>
      </c>
      <c r="M69" t="n">
        <v>0</v>
      </c>
      <c r="N69" t="n">
        <v>0</v>
      </c>
      <c r="O69" t="n">
        <v>0</v>
      </c>
      <c r="P69" t="n">
        <v>0</v>
      </c>
      <c r="Q69" t="n">
        <v>0</v>
      </c>
      <c r="R69" t="n">
        <v>0</v>
      </c>
      <c r="S69" t="n">
        <v>0</v>
      </c>
      <c r="T69" t="n">
        <v>0</v>
      </c>
      <c r="U69" s="2" t="inlineStr"/>
    </row>
    <row r="70" ht="15" customHeight="1">
      <c r="A70" t="inlineStr">
        <is>
          <t>A 273-2025</t>
        </is>
      </c>
      <c r="B70" t="inlineStr">
        <is>
          <t>avverkningsanmälan</t>
        </is>
      </c>
      <c r="C70" t="inlineStr">
        <is>
          <t>Avverkning för annat ändamål</t>
        </is>
      </c>
      <c r="D70" s="1" t="n">
        <v>45653</v>
      </c>
      <c r="E70" s="1" t="n">
        <v>46221</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s="2" t="inlineStr"/>
    </row>
    <row r="71" ht="15" customHeight="1">
      <c r="A71" t="inlineStr">
        <is>
          <t>A 31695-2022</t>
        </is>
      </c>
      <c r="B71" t="inlineStr">
        <is>
          <t>avverkningsanmälan</t>
        </is>
      </c>
      <c r="C71" t="inlineStr">
        <is>
          <t>Avverkning för att bevara och utveckla /försöksver</t>
        </is>
      </c>
      <c r="D71" s="1" t="n">
        <v>44776</v>
      </c>
      <c r="E71" s="1" t="n">
        <v>46221</v>
      </c>
      <c r="F71" t="inlineStr">
        <is>
          <t>STOCKHOLMS LÄN</t>
        </is>
      </c>
      <c r="G71" t="inlineStr">
        <is>
          <t>SIGTUNA</t>
        </is>
      </c>
      <c r="H71" t="inlineStr">
        <is>
          <t>Kommuner</t>
        </is>
      </c>
      <c r="I71" t="n">
        <v>1.1</v>
      </c>
      <c r="J71" t="n">
        <v>0</v>
      </c>
      <c r="K71" t="n">
        <v>0</v>
      </c>
      <c r="L71" t="n">
        <v>0</v>
      </c>
      <c r="M71" t="n">
        <v>0</v>
      </c>
      <c r="N71" t="n">
        <v>0</v>
      </c>
      <c r="O71" t="n">
        <v>0</v>
      </c>
      <c r="P71" t="n">
        <v>0</v>
      </c>
      <c r="Q71" t="n">
        <v>0</v>
      </c>
      <c r="R71" t="n">
        <v>0</v>
      </c>
      <c r="S71" t="n">
        <v>0</v>
      </c>
      <c r="T71" t="n">
        <v>0</v>
      </c>
      <c r="U71" s="2" t="inlineStr"/>
    </row>
    <row r="72" ht="15" customHeight="1">
      <c r="A72" t="inlineStr">
        <is>
          <t>A 9856-2024</t>
        </is>
      </c>
      <c r="B72" t="inlineStr">
        <is>
          <t>avverkningsanmälan</t>
        </is>
      </c>
      <c r="C72" t="inlineStr">
        <is>
          <t>Avverkning för annat ändamål</t>
        </is>
      </c>
      <c r="D72" s="1" t="n">
        <v>45363</v>
      </c>
      <c r="E72" s="1" t="n">
        <v>46221</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s="2" t="inlineStr"/>
    </row>
    <row r="73" ht="15" customHeight="1">
      <c r="A73" t="inlineStr">
        <is>
          <t>A 59957-2023</t>
        </is>
      </c>
      <c r="B73" t="inlineStr">
        <is>
          <t>avverkningsanmälan</t>
        </is>
      </c>
      <c r="C73" t="inlineStr">
        <is>
          <t>Föryngringsavverkning</t>
        </is>
      </c>
      <c r="D73" s="1" t="n">
        <v>45257</v>
      </c>
      <c r="E73" s="1" t="n">
        <v>46221</v>
      </c>
      <c r="F73" t="inlineStr">
        <is>
          <t>STOCKHOLMS LÄN</t>
        </is>
      </c>
      <c r="G73" t="inlineStr">
        <is>
          <t>SIGTUNA</t>
        </is>
      </c>
      <c r="H73" t="inlineStr">
        <is>
          <t>Sveaskog</t>
        </is>
      </c>
      <c r="I73" t="n">
        <v>0.5</v>
      </c>
      <c r="J73" t="n">
        <v>0</v>
      </c>
      <c r="K73" t="n">
        <v>0</v>
      </c>
      <c r="L73" t="n">
        <v>0</v>
      </c>
      <c r="M73" t="n">
        <v>0</v>
      </c>
      <c r="N73" t="n">
        <v>0</v>
      </c>
      <c r="O73" t="n">
        <v>0</v>
      </c>
      <c r="P73" t="n">
        <v>0</v>
      </c>
      <c r="Q73" t="n">
        <v>0</v>
      </c>
      <c r="R73" t="n">
        <v>0</v>
      </c>
      <c r="S73" t="n">
        <v>0</v>
      </c>
      <c r="T73" t="n">
        <v>0</v>
      </c>
      <c r="U73" s="2" t="inlineStr"/>
    </row>
    <row r="74" ht="15" customHeight="1">
      <c r="A74" t="inlineStr">
        <is>
          <t>A 2496-2024</t>
        </is>
      </c>
      <c r="B74" t="inlineStr">
        <is>
          <t>avverkningsanmälan</t>
        </is>
      </c>
      <c r="C74" t="inlineStr">
        <is>
          <t>Föryngringsavverkning</t>
        </is>
      </c>
      <c r="D74" s="1" t="n">
        <v>45313</v>
      </c>
      <c r="E74" s="1" t="n">
        <v>46221</v>
      </c>
      <c r="F74" t="inlineStr">
        <is>
          <t>STOCKHOLMS LÄN</t>
        </is>
      </c>
      <c r="G74" t="inlineStr">
        <is>
          <t>SIGTUNA</t>
        </is>
      </c>
      <c r="H74" t="inlineStr">
        <is>
          <t>Kommuner</t>
        </is>
      </c>
      <c r="I74" t="n">
        <v>3.3</v>
      </c>
      <c r="J74" t="n">
        <v>0</v>
      </c>
      <c r="K74" t="n">
        <v>0</v>
      </c>
      <c r="L74" t="n">
        <v>0</v>
      </c>
      <c r="M74" t="n">
        <v>0</v>
      </c>
      <c r="N74" t="n">
        <v>0</v>
      </c>
      <c r="O74" t="n">
        <v>0</v>
      </c>
      <c r="P74" t="n">
        <v>0</v>
      </c>
      <c r="Q74" t="n">
        <v>0</v>
      </c>
      <c r="R74" t="n">
        <v>0</v>
      </c>
      <c r="S74" t="n">
        <v>0</v>
      </c>
      <c r="T74" t="n">
        <v>0</v>
      </c>
      <c r="U74" s="2" t="inlineStr"/>
    </row>
    <row r="75" ht="15" customHeight="1">
      <c r="A75" t="inlineStr">
        <is>
          <t>A 35966-2024</t>
        </is>
      </c>
      <c r="B75" t="inlineStr">
        <is>
          <t>avverkningsanmälan</t>
        </is>
      </c>
      <c r="C75" t="inlineStr">
        <is>
          <t>Föryngringsavverkning</t>
        </is>
      </c>
      <c r="D75" s="1" t="n">
        <v>45533</v>
      </c>
      <c r="E75" s="1" t="n">
        <v>46221</v>
      </c>
      <c r="F75" t="inlineStr">
        <is>
          <t>STOCKHOLMS LÄN</t>
        </is>
      </c>
      <c r="G75" t="inlineStr">
        <is>
          <t>SIGTUNA</t>
        </is>
      </c>
      <c r="I75" t="n">
        <v>0.4</v>
      </c>
      <c r="J75" t="n">
        <v>0</v>
      </c>
      <c r="K75" t="n">
        <v>0</v>
      </c>
      <c r="L75" t="n">
        <v>0</v>
      </c>
      <c r="M75" t="n">
        <v>0</v>
      </c>
      <c r="N75" t="n">
        <v>0</v>
      </c>
      <c r="O75" t="n">
        <v>0</v>
      </c>
      <c r="P75" t="n">
        <v>0</v>
      </c>
      <c r="Q75" t="n">
        <v>0</v>
      </c>
      <c r="R75" t="n">
        <v>0</v>
      </c>
      <c r="S75" t="n">
        <v>0</v>
      </c>
      <c r="T75" t="n">
        <v>0</v>
      </c>
      <c r="U75" s="2" t="inlineStr"/>
    </row>
    <row r="76" ht="15" customHeight="1">
      <c r="A76" t="inlineStr">
        <is>
          <t>A 36179-2022</t>
        </is>
      </c>
      <c r="B76" t="inlineStr">
        <is>
          <t>avverkningsanmälan</t>
        </is>
      </c>
      <c r="C76" t="inlineStr">
        <is>
          <t>Föryngringsavverkning</t>
        </is>
      </c>
      <c r="D76" s="1" t="n">
        <v>44803</v>
      </c>
      <c r="E76" s="1" t="n">
        <v>46221</v>
      </c>
      <c r="F76" t="inlineStr">
        <is>
          <t>STOCKHOLMS LÄN</t>
        </is>
      </c>
      <c r="G76" t="inlineStr">
        <is>
          <t>SIGTUNA</t>
        </is>
      </c>
      <c r="I76" t="n">
        <v>6.1</v>
      </c>
      <c r="J76" t="n">
        <v>0</v>
      </c>
      <c r="K76" t="n">
        <v>0</v>
      </c>
      <c r="L76" t="n">
        <v>0</v>
      </c>
      <c r="M76" t="n">
        <v>0</v>
      </c>
      <c r="N76" t="n">
        <v>0</v>
      </c>
      <c r="O76" t="n">
        <v>0</v>
      </c>
      <c r="P76" t="n">
        <v>0</v>
      </c>
      <c r="Q76" t="n">
        <v>0</v>
      </c>
      <c r="R76" t="n">
        <v>0</v>
      </c>
      <c r="S76" t="n">
        <v>0</v>
      </c>
      <c r="T76" t="n">
        <v>0</v>
      </c>
      <c r="U76" s="2" t="inlineStr"/>
    </row>
    <row r="77" ht="15" customHeight="1">
      <c r="A77" t="inlineStr">
        <is>
          <t>A 36181-2022</t>
        </is>
      </c>
      <c r="B77" t="inlineStr">
        <is>
          <t>avverkningsanmälan</t>
        </is>
      </c>
      <c r="C77" t="inlineStr">
        <is>
          <t>Föryngringsavverkning</t>
        </is>
      </c>
      <c r="D77" s="1" t="n">
        <v>44803</v>
      </c>
      <c r="E77" s="1" t="n">
        <v>46221</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s="2" t="inlineStr"/>
    </row>
    <row r="78" ht="15" customHeight="1">
      <c r="A78" t="inlineStr">
        <is>
          <t>A 6826-2025</t>
        </is>
      </c>
      <c r="B78" t="inlineStr">
        <is>
          <t>avverkningsanmälan</t>
        </is>
      </c>
      <c r="C78" t="inlineStr">
        <is>
          <t>Avverkning för annat ändamål</t>
        </is>
      </c>
      <c r="D78" s="1" t="n">
        <v>45700</v>
      </c>
      <c r="E78" s="1" t="n">
        <v>46221</v>
      </c>
      <c r="F78" t="inlineStr">
        <is>
          <t>STOCKHOLMS LÄN</t>
        </is>
      </c>
      <c r="G78" t="inlineStr">
        <is>
          <t>SIGTUNA</t>
        </is>
      </c>
      <c r="I78" t="n">
        <v>1.1</v>
      </c>
      <c r="J78" t="n">
        <v>0</v>
      </c>
      <c r="K78" t="n">
        <v>0</v>
      </c>
      <c r="L78" t="n">
        <v>0</v>
      </c>
      <c r="M78" t="n">
        <v>0</v>
      </c>
      <c r="N78" t="n">
        <v>0</v>
      </c>
      <c r="O78" t="n">
        <v>0</v>
      </c>
      <c r="P78" t="n">
        <v>0</v>
      </c>
      <c r="Q78" t="n">
        <v>0</v>
      </c>
      <c r="R78" t="n">
        <v>0</v>
      </c>
      <c r="S78" t="n">
        <v>0</v>
      </c>
      <c r="T78" t="n">
        <v>0</v>
      </c>
      <c r="U78" s="2" t="inlineStr"/>
    </row>
    <row r="79" ht="15" customHeight="1">
      <c r="A79" t="inlineStr">
        <is>
          <t>A 22913-2026</t>
        </is>
      </c>
      <c r="B79" t="inlineStr">
        <is>
          <t>avverkningsanmälan</t>
        </is>
      </c>
      <c r="C79" t="inlineStr">
        <is>
          <t>Föryngringsavverkning</t>
        </is>
      </c>
      <c r="D79" s="1" t="n">
        <v>46159</v>
      </c>
      <c r="E79" s="1" t="n">
        <v>46221</v>
      </c>
      <c r="F79" t="inlineStr">
        <is>
          <t>STOCKHOLMS LÄN</t>
        </is>
      </c>
      <c r="G79" t="inlineStr">
        <is>
          <t>SIGTUNA</t>
        </is>
      </c>
      <c r="H79" t="inlineStr">
        <is>
          <t>Sveaskog</t>
        </is>
      </c>
      <c r="I79" t="n">
        <v>1.1</v>
      </c>
      <c r="J79" t="n">
        <v>0</v>
      </c>
      <c r="K79" t="n">
        <v>0</v>
      </c>
      <c r="L79" t="n">
        <v>0</v>
      </c>
      <c r="M79" t="n">
        <v>0</v>
      </c>
      <c r="N79" t="n">
        <v>0</v>
      </c>
      <c r="O79" t="n">
        <v>0</v>
      </c>
      <c r="P79" t="n">
        <v>0</v>
      </c>
      <c r="Q79" t="n">
        <v>0</v>
      </c>
      <c r="R79" t="n">
        <v>0</v>
      </c>
      <c r="S79" t="n">
        <v>0</v>
      </c>
      <c r="T79" t="n">
        <v>0</v>
      </c>
      <c r="U79" s="2" t="inlineStr"/>
    </row>
    <row r="80" ht="15" customHeight="1">
      <c r="A80" t="inlineStr">
        <is>
          <t>A 11285-2023</t>
        </is>
      </c>
      <c r="B80" t="inlineStr">
        <is>
          <t>avverkningsanmälan</t>
        </is>
      </c>
      <c r="C80" t="inlineStr">
        <is>
          <t>Föryngringsavverkning</t>
        </is>
      </c>
      <c r="D80" s="1" t="n">
        <v>44992</v>
      </c>
      <c r="E80" s="1" t="n">
        <v>46221</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s="2" t="inlineStr"/>
    </row>
    <row r="81" ht="15" customHeight="1">
      <c r="A81" t="inlineStr">
        <is>
          <t>A 60922-2023</t>
        </is>
      </c>
      <c r="B81" t="inlineStr">
        <is>
          <t>avverkningsanmälan</t>
        </is>
      </c>
      <c r="C81" t="inlineStr">
        <is>
          <t>Föryngringsavverkning</t>
        </is>
      </c>
      <c r="D81" s="1" t="n">
        <v>45261</v>
      </c>
      <c r="E81" s="1" t="n">
        <v>46221</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s="2" t="inlineStr"/>
    </row>
    <row r="82" ht="15" customHeight="1">
      <c r="A82" t="inlineStr">
        <is>
          <t>A 12931-2022</t>
        </is>
      </c>
      <c r="B82" t="inlineStr">
        <is>
          <t>avverkningsanmälan</t>
        </is>
      </c>
      <c r="C82" t="inlineStr">
        <is>
          <t>Föryngringsavverkning</t>
        </is>
      </c>
      <c r="D82" s="1" t="n">
        <v>44642</v>
      </c>
      <c r="E82" s="1" t="n">
        <v>46221</v>
      </c>
      <c r="F82" t="inlineStr">
        <is>
          <t>STOCKHOLMS LÄN</t>
        </is>
      </c>
      <c r="G82" t="inlineStr">
        <is>
          <t>SIGTUNA</t>
        </is>
      </c>
      <c r="H82" t="inlineStr">
        <is>
          <t>Kyrkan</t>
        </is>
      </c>
      <c r="I82" t="n">
        <v>1.8</v>
      </c>
      <c r="J82" t="n">
        <v>0</v>
      </c>
      <c r="K82" t="n">
        <v>0</v>
      </c>
      <c r="L82" t="n">
        <v>0</v>
      </c>
      <c r="M82" t="n">
        <v>0</v>
      </c>
      <c r="N82" t="n">
        <v>0</v>
      </c>
      <c r="O82" t="n">
        <v>0</v>
      </c>
      <c r="P82" t="n">
        <v>0</v>
      </c>
      <c r="Q82" t="n">
        <v>0</v>
      </c>
      <c r="R82" t="n">
        <v>0</v>
      </c>
      <c r="S82" t="n">
        <v>0</v>
      </c>
      <c r="T82" t="n">
        <v>0</v>
      </c>
      <c r="U82" s="2" t="inlineStr"/>
    </row>
    <row r="83" ht="15" customHeight="1">
      <c r="A83" t="inlineStr">
        <is>
          <t>A 41693-2022</t>
        </is>
      </c>
      <c r="B83" t="inlineStr">
        <is>
          <t>avverkningsanmälan</t>
        </is>
      </c>
      <c r="C83" t="inlineStr">
        <is>
          <t>Föryngringsavverkning</t>
        </is>
      </c>
      <c r="D83" s="1" t="n">
        <v>44827</v>
      </c>
      <c r="E83" s="1" t="n">
        <v>46221</v>
      </c>
      <c r="F83" t="inlineStr">
        <is>
          <t>STOCKHOLMS LÄN</t>
        </is>
      </c>
      <c r="G83" t="inlineStr">
        <is>
          <t>SIGTUNA</t>
        </is>
      </c>
      <c r="H83" t="inlineStr">
        <is>
          <t>Allmännings- och besparingsskogar</t>
        </is>
      </c>
      <c r="I83" t="n">
        <v>0.8</v>
      </c>
      <c r="J83" t="n">
        <v>0</v>
      </c>
      <c r="K83" t="n">
        <v>0</v>
      </c>
      <c r="L83" t="n">
        <v>0</v>
      </c>
      <c r="M83" t="n">
        <v>0</v>
      </c>
      <c r="N83" t="n">
        <v>0</v>
      </c>
      <c r="O83" t="n">
        <v>0</v>
      </c>
      <c r="P83" t="n">
        <v>0</v>
      </c>
      <c r="Q83" t="n">
        <v>0</v>
      </c>
      <c r="R83" t="n">
        <v>0</v>
      </c>
      <c r="S83" t="n">
        <v>0</v>
      </c>
      <c r="T83" t="n">
        <v>0</v>
      </c>
      <c r="U83" s="2" t="inlineStr"/>
    </row>
    <row r="84" ht="15" customHeight="1">
      <c r="A84" t="inlineStr">
        <is>
          <t>A 37392-2024</t>
        </is>
      </c>
      <c r="B84" t="inlineStr">
        <is>
          <t>avverkningsanmälan</t>
        </is>
      </c>
      <c r="C84" t="inlineStr">
        <is>
          <t>Föryngringsavverkning</t>
        </is>
      </c>
      <c r="D84" s="1" t="n">
        <v>45540</v>
      </c>
      <c r="E84" s="1" t="n">
        <v>46221</v>
      </c>
      <c r="F84" t="inlineStr">
        <is>
          <t>STOCKHOLMS LÄN</t>
        </is>
      </c>
      <c r="G84" t="inlineStr">
        <is>
          <t>SIGTUNA</t>
        </is>
      </c>
      <c r="I84" t="n">
        <v>2.1</v>
      </c>
      <c r="J84" t="n">
        <v>0</v>
      </c>
      <c r="K84" t="n">
        <v>0</v>
      </c>
      <c r="L84" t="n">
        <v>0</v>
      </c>
      <c r="M84" t="n">
        <v>0</v>
      </c>
      <c r="N84" t="n">
        <v>0</v>
      </c>
      <c r="O84" t="n">
        <v>0</v>
      </c>
      <c r="P84" t="n">
        <v>0</v>
      </c>
      <c r="Q84" t="n">
        <v>0</v>
      </c>
      <c r="R84" t="n">
        <v>0</v>
      </c>
      <c r="S84" t="n">
        <v>0</v>
      </c>
      <c r="T84" t="n">
        <v>0</v>
      </c>
      <c r="U84" s="2" t="inlineStr"/>
    </row>
    <row r="85" ht="15" customHeight="1">
      <c r="A85" t="inlineStr">
        <is>
          <t>A 38465-2023</t>
        </is>
      </c>
      <c r="B85" t="inlineStr">
        <is>
          <t>avverkningsanmälan</t>
        </is>
      </c>
      <c r="C85" t="inlineStr">
        <is>
          <t>Föryngringsavverkning</t>
        </is>
      </c>
      <c r="D85" s="1" t="n">
        <v>45162</v>
      </c>
      <c r="E85" s="1" t="n">
        <v>46221</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s="2" t="inlineStr"/>
    </row>
    <row r="86" ht="15" customHeight="1">
      <c r="A86" t="inlineStr">
        <is>
          <t>A 32424-2023</t>
        </is>
      </c>
      <c r="B86" t="inlineStr">
        <is>
          <t>avverkningsanmälan</t>
        </is>
      </c>
      <c r="C86" t="inlineStr">
        <is>
          <t>Föryngringsavverkning</t>
        </is>
      </c>
      <c r="D86" s="1" t="n">
        <v>45110</v>
      </c>
      <c r="E86" s="1" t="n">
        <v>46221</v>
      </c>
      <c r="F86" t="inlineStr">
        <is>
          <t>STOCKHOLMS LÄN</t>
        </is>
      </c>
      <c r="G86" t="inlineStr">
        <is>
          <t>SIGTUNA</t>
        </is>
      </c>
      <c r="I86" t="n">
        <v>2.5</v>
      </c>
      <c r="J86" t="n">
        <v>0</v>
      </c>
      <c r="K86" t="n">
        <v>0</v>
      </c>
      <c r="L86" t="n">
        <v>0</v>
      </c>
      <c r="M86" t="n">
        <v>0</v>
      </c>
      <c r="N86" t="n">
        <v>0</v>
      </c>
      <c r="O86" t="n">
        <v>0</v>
      </c>
      <c r="P86" t="n">
        <v>0</v>
      </c>
      <c r="Q86" t="n">
        <v>0</v>
      </c>
      <c r="R86" t="n">
        <v>0</v>
      </c>
      <c r="S86" t="n">
        <v>0</v>
      </c>
      <c r="T86" t="n">
        <v>0</v>
      </c>
      <c r="U86" s="2" t="inlineStr"/>
    </row>
    <row r="87" ht="15" customHeight="1">
      <c r="A87" t="inlineStr">
        <is>
          <t>A 31684-2022</t>
        </is>
      </c>
      <c r="B87" t="inlineStr">
        <is>
          <t>avverkningsanmälan</t>
        </is>
      </c>
      <c r="C87" t="inlineStr">
        <is>
          <t>Avverkning för att bevara och utveckla /försöksver</t>
        </is>
      </c>
      <c r="D87" s="1" t="n">
        <v>44776</v>
      </c>
      <c r="E87" s="1" t="n">
        <v>46221</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s="2" t="inlineStr"/>
    </row>
    <row r="88" ht="15" customHeight="1">
      <c r="A88" t="inlineStr">
        <is>
          <t>A 32426-2023</t>
        </is>
      </c>
      <c r="B88" t="inlineStr">
        <is>
          <t>avverkningsanmälan</t>
        </is>
      </c>
      <c r="C88" t="inlineStr">
        <is>
          <t>Föryngringsavverkning</t>
        </is>
      </c>
      <c r="D88" s="1" t="n">
        <v>45110</v>
      </c>
      <c r="E88" s="1" t="n">
        <v>46221</v>
      </c>
      <c r="F88" t="inlineStr">
        <is>
          <t>STOCKHOLMS LÄN</t>
        </is>
      </c>
      <c r="G88" t="inlineStr">
        <is>
          <t>SIGTUNA</t>
        </is>
      </c>
      <c r="I88" t="n">
        <v>3.1</v>
      </c>
      <c r="J88" t="n">
        <v>0</v>
      </c>
      <c r="K88" t="n">
        <v>0</v>
      </c>
      <c r="L88" t="n">
        <v>0</v>
      </c>
      <c r="M88" t="n">
        <v>0</v>
      </c>
      <c r="N88" t="n">
        <v>0</v>
      </c>
      <c r="O88" t="n">
        <v>0</v>
      </c>
      <c r="P88" t="n">
        <v>0</v>
      </c>
      <c r="Q88" t="n">
        <v>0</v>
      </c>
      <c r="R88" t="n">
        <v>0</v>
      </c>
      <c r="S88" t="n">
        <v>0</v>
      </c>
      <c r="T88" t="n">
        <v>0</v>
      </c>
      <c r="U88" s="2" t="inlineStr"/>
    </row>
    <row r="89" ht="15" customHeight="1">
      <c r="A89" t="inlineStr">
        <is>
          <t>A 60865-2024</t>
        </is>
      </c>
      <c r="B89" t="inlineStr">
        <is>
          <t>avverkningsanmälan</t>
        </is>
      </c>
      <c r="C89" t="inlineStr">
        <is>
          <t>Föryngringsavverkning</t>
        </is>
      </c>
      <c r="D89" s="1" t="n">
        <v>45644</v>
      </c>
      <c r="E89" s="1" t="n">
        <v>46221</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s="2" t="inlineStr"/>
    </row>
    <row r="90" ht="15" customHeight="1">
      <c r="A90" t="inlineStr">
        <is>
          <t>A 9120-2025</t>
        </is>
      </c>
      <c r="B90" t="inlineStr">
        <is>
          <t>avverkningsanmälan</t>
        </is>
      </c>
      <c r="C90" t="inlineStr">
        <is>
          <t>Föryngringsavverkning</t>
        </is>
      </c>
      <c r="D90" s="1" t="n">
        <v>45713</v>
      </c>
      <c r="E90" s="1" t="n">
        <v>46221</v>
      </c>
      <c r="F90" t="inlineStr">
        <is>
          <t>STOCKHOLMS LÄN</t>
        </is>
      </c>
      <c r="G90" t="inlineStr">
        <is>
          <t>SIGTUNA</t>
        </is>
      </c>
      <c r="H90" t="inlineStr">
        <is>
          <t>Allmännings- och besparingsskogar</t>
        </is>
      </c>
      <c r="I90" t="n">
        <v>9.699999999999999</v>
      </c>
      <c r="J90" t="n">
        <v>0</v>
      </c>
      <c r="K90" t="n">
        <v>0</v>
      </c>
      <c r="L90" t="n">
        <v>0</v>
      </c>
      <c r="M90" t="n">
        <v>0</v>
      </c>
      <c r="N90" t="n">
        <v>0</v>
      </c>
      <c r="O90" t="n">
        <v>0</v>
      </c>
      <c r="P90" t="n">
        <v>0</v>
      </c>
      <c r="Q90" t="n">
        <v>0</v>
      </c>
      <c r="R90" t="n">
        <v>0</v>
      </c>
      <c r="S90" t="n">
        <v>0</v>
      </c>
      <c r="T90" t="n">
        <v>0</v>
      </c>
      <c r="U90" s="2" t="inlineStr"/>
    </row>
    <row r="91" ht="15" customHeight="1">
      <c r="A91" t="inlineStr">
        <is>
          <t>A 24967-2024</t>
        </is>
      </c>
      <c r="B91" t="inlineStr">
        <is>
          <t>avverkningsanmälan</t>
        </is>
      </c>
      <c r="C91" t="inlineStr">
        <is>
          <t>Föryngringsavverkning</t>
        </is>
      </c>
      <c r="D91" s="1" t="n">
        <v>45461</v>
      </c>
      <c r="E91" s="1" t="n">
        <v>46221</v>
      </c>
      <c r="F91" t="inlineStr">
        <is>
          <t>STOCKHOLMS LÄN</t>
        </is>
      </c>
      <c r="G91" t="inlineStr">
        <is>
          <t>SIGTUNA</t>
        </is>
      </c>
      <c r="I91" t="n">
        <v>3.5</v>
      </c>
      <c r="J91" t="n">
        <v>0</v>
      </c>
      <c r="K91" t="n">
        <v>0</v>
      </c>
      <c r="L91" t="n">
        <v>0</v>
      </c>
      <c r="M91" t="n">
        <v>0</v>
      </c>
      <c r="N91" t="n">
        <v>0</v>
      </c>
      <c r="O91" t="n">
        <v>0</v>
      </c>
      <c r="P91" t="n">
        <v>0</v>
      </c>
      <c r="Q91" t="n">
        <v>0</v>
      </c>
      <c r="R91" t="n">
        <v>0</v>
      </c>
      <c r="S91" t="n">
        <v>0</v>
      </c>
      <c r="T91" t="n">
        <v>0</v>
      </c>
      <c r="U91" s="2" t="inlineStr"/>
    </row>
    <row r="92" ht="15" customHeight="1">
      <c r="A92" t="inlineStr">
        <is>
          <t>A 43158-2024</t>
        </is>
      </c>
      <c r="B92" t="inlineStr">
        <is>
          <t>avverkningsanmälan</t>
        </is>
      </c>
      <c r="C92" t="inlineStr">
        <is>
          <t>Föryngringsavverkning</t>
        </is>
      </c>
      <c r="D92" s="1" t="n">
        <v>45567</v>
      </c>
      <c r="E92" s="1" t="n">
        <v>46221</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s="2" t="inlineStr"/>
    </row>
    <row r="93" ht="15" customHeight="1">
      <c r="A93" t="inlineStr">
        <is>
          <t>A 24946-2024</t>
        </is>
      </c>
      <c r="B93" t="inlineStr">
        <is>
          <t>avverkningsanmälan</t>
        </is>
      </c>
      <c r="C93" t="inlineStr">
        <is>
          <t>Föryngringsavverkning</t>
        </is>
      </c>
      <c r="D93" s="1" t="n">
        <v>45461</v>
      </c>
      <c r="E93" s="1" t="n">
        <v>46221</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s="2" t="inlineStr"/>
    </row>
    <row r="94" ht="15" customHeight="1">
      <c r="A94" t="inlineStr">
        <is>
          <t>A 3890-2025</t>
        </is>
      </c>
      <c r="B94" t="inlineStr">
        <is>
          <t>avverkningsanmälan</t>
        </is>
      </c>
      <c r="C94" t="inlineStr">
        <is>
          <t>Föryngringsavverkning</t>
        </is>
      </c>
      <c r="D94" s="1" t="n">
        <v>45684</v>
      </c>
      <c r="E94" s="1" t="n">
        <v>46221</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s="2" t="inlineStr"/>
    </row>
    <row r="95" ht="15" customHeight="1">
      <c r="A95" t="inlineStr">
        <is>
          <t>A 21513-2025</t>
        </is>
      </c>
      <c r="B95" t="inlineStr">
        <is>
          <t>avverkningsanmälan</t>
        </is>
      </c>
      <c r="C95" t="inlineStr">
        <is>
          <t>Föryngringsavverkning</t>
        </is>
      </c>
      <c r="D95" s="1" t="n">
        <v>45782</v>
      </c>
      <c r="E95" s="1" t="n">
        <v>46221</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s="2" t="inlineStr"/>
    </row>
    <row r="96" ht="15" customHeight="1">
      <c r="A96" t="inlineStr">
        <is>
          <t>A 48375-2024</t>
        </is>
      </c>
      <c r="B96" t="inlineStr">
        <is>
          <t>avverkningsanmälan</t>
        </is>
      </c>
      <c r="C96" t="inlineStr">
        <is>
          <t>Föryngringsavverkning</t>
        </is>
      </c>
      <c r="D96" s="1" t="n">
        <v>45590</v>
      </c>
      <c r="E96" s="1" t="n">
        <v>46221</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s="2" t="inlineStr"/>
    </row>
    <row r="97" ht="15" customHeight="1">
      <c r="A97" t="inlineStr">
        <is>
          <t>A 22402-2025</t>
        </is>
      </c>
      <c r="B97" t="inlineStr">
        <is>
          <t>avverkningsanmälan</t>
        </is>
      </c>
      <c r="C97" t="inlineStr">
        <is>
          <t>Föryngringsavverkning</t>
        </is>
      </c>
      <c r="D97" s="1" t="n">
        <v>45786</v>
      </c>
      <c r="E97" s="1" t="n">
        <v>46221</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s="2" t="inlineStr"/>
    </row>
    <row r="98" ht="15" customHeight="1">
      <c r="A98" t="inlineStr">
        <is>
          <t>A 35961-2024</t>
        </is>
      </c>
      <c r="B98" t="inlineStr">
        <is>
          <t>avverkningsanmälan</t>
        </is>
      </c>
      <c r="C98" t="inlineStr">
        <is>
          <t>Föryngringsavverkning</t>
        </is>
      </c>
      <c r="D98" s="1" t="n">
        <v>45533</v>
      </c>
      <c r="E98" s="1" t="n">
        <v>46221</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s="2" t="inlineStr"/>
    </row>
    <row r="99" ht="15" customHeight="1">
      <c r="A99" t="inlineStr">
        <is>
          <t>A 19031-2024</t>
        </is>
      </c>
      <c r="B99" t="inlineStr">
        <is>
          <t>avverkningsanmälan</t>
        </is>
      </c>
      <c r="C99" t="inlineStr">
        <is>
          <t>Avverkning för annat ändamål</t>
        </is>
      </c>
      <c r="D99" s="1" t="n">
        <v>45427</v>
      </c>
      <c r="E99" s="1" t="n">
        <v>46221</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s="2" t="inlineStr"/>
    </row>
    <row r="100" ht="15" customHeight="1">
      <c r="A100" t="inlineStr">
        <is>
          <t>A 24105-2025</t>
        </is>
      </c>
      <c r="B100" t="inlineStr">
        <is>
          <t>avverkningsanmälan</t>
        </is>
      </c>
      <c r="C100" t="inlineStr">
        <is>
          <t>Föryngringsavverkning</t>
        </is>
      </c>
      <c r="D100" s="1" t="n">
        <v>45796</v>
      </c>
      <c r="E100" s="1" t="n">
        <v>46221</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s="2" t="inlineStr"/>
    </row>
    <row r="101">
      <c r="A101" t="inlineStr">
        <is>
          <t>A 60934-2023</t>
        </is>
      </c>
      <c r="B101" t="inlineStr">
        <is>
          <t>avverkningsanmälan</t>
        </is>
      </c>
      <c r="C101" t="inlineStr">
        <is>
          <t>Föryngringsavverkning</t>
        </is>
      </c>
      <c r="D101" s="1" t="n">
        <v>45261</v>
      </c>
      <c r="E101" s="1" t="n">
        <v>46221</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2026-07-18T01:22:41Z</dcterms:created>
  <dcterms:modified xmlns:dcterms="http://purl.org/dc/terms/" xmlns:xsi="http://www.w3.org/2001/XMLSchema-instance" xsi:type="dcterms:W3CDTF">2026-07-18T01:22:42Z</dcterms:modified>
</cp:coreProperties>
</file>
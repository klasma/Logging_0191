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46302</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46302</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46302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46302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46302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46302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46302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37339-2026</t>
        </is>
      </c>
      <c r="B18" t="inlineStr">
        <is>
          <t>avverkningsanmälan</t>
        </is>
      </c>
      <c r="C18" t="inlineStr">
        <is>
          <t>Föryngringsavverkning</t>
        </is>
      </c>
      <c r="D18" s="1" t="n">
        <v>46275</v>
      </c>
      <c r="E18" s="1" t="n">
        <v>46302</v>
      </c>
      <c r="F18" t="inlineStr">
        <is>
          <t>STOCKHOLMS LÄN</t>
        </is>
      </c>
      <c r="G18" t="inlineStr">
        <is>
          <t>SIGTUNA</t>
        </is>
      </c>
      <c r="I18" t="n">
        <v>3.6</v>
      </c>
      <c r="J18" t="n">
        <v>0</v>
      </c>
      <c r="K18" t="n">
        <v>0</v>
      </c>
      <c r="L18" t="n">
        <v>0</v>
      </c>
      <c r="M18" t="n">
        <v>1</v>
      </c>
      <c r="N18" t="n">
        <v>0</v>
      </c>
      <c r="O18" t="n">
        <v>0</v>
      </c>
      <c r="P18" t="n">
        <v>0</v>
      </c>
      <c r="Q18" t="n">
        <v>1</v>
      </c>
      <c r="R18" t="n">
        <v>1</v>
      </c>
      <c r="S18" t="n">
        <v>1</v>
      </c>
      <c r="T18" t="n">
        <v>1</v>
      </c>
      <c r="U18" t="n">
        <v>1</v>
      </c>
      <c r="V18" s="2" t="inlineStr">
        <is>
          <t>Svartfjällig musseron</t>
        </is>
      </c>
      <c r="W18">
        <f>HYPERLINK("https://klasma.github.io/Logging_0191/artfynd/A 37339-2026 artfynd.xlsx", "A 37339-2026")</f>
        <v/>
      </c>
      <c r="X18">
        <f>HYPERLINK("https://klasma.github.io/Logging_0191/kartor/A 37339-2026 karta.png", "A 37339-2026")</f>
        <v/>
      </c>
      <c r="Y18">
        <f>HYPERLINK("https://klasma.github.io/Logging_0191/kartor_geotiff/A 37339-2026 georefererad karta.tif", "A 37339-2026")</f>
        <v/>
      </c>
      <c r="AA18">
        <f>HYPERLINK("https://klasma.github.io/Logging_0191/klagomål/A 37339-2026 FSC-klagomål.docx", "A 37339-2026")</f>
        <v/>
      </c>
      <c r="AB18">
        <f>HYPERLINK("https://klasma.github.io/Logging_0191/klagomålsmail/A 37339-2026 FSC-klagomål mail.docx", "A 37339-2026")</f>
        <v/>
      </c>
      <c r="AC18">
        <f>HYPERLINK("https://klasma.github.io/Logging_0191/tillsyn/A 37339-2026 tillsynsbegäran.docx", "A 37339-2026")</f>
        <v/>
      </c>
      <c r="AD18">
        <f>HYPERLINK("https://klasma.github.io/Logging_0191/tillsynsmail/A 37339-2026 tillsynsbegäran mail.docx", "A 37339-2026")</f>
        <v/>
      </c>
    </row>
    <row r="19" ht="15" customHeight="1">
      <c r="A19" t="inlineStr">
        <is>
          <t>A 39716-2023</t>
        </is>
      </c>
      <c r="B19" t="inlineStr">
        <is>
          <t>avverkningsanmälan</t>
        </is>
      </c>
      <c r="C19" t="inlineStr">
        <is>
          <t>Föryngringsavverkning</t>
        </is>
      </c>
      <c r="D19" s="1" t="n">
        <v>45166</v>
      </c>
      <c r="E19" s="1" t="n">
        <v>46302</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46302</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46302</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15452-2023</t>
        </is>
      </c>
      <c r="B22" t="inlineStr">
        <is>
          <t>avverkningsanmälan</t>
        </is>
      </c>
      <c r="C22" t="inlineStr">
        <is>
          <t>Avverkning för annat ändamål</t>
        </is>
      </c>
      <c r="D22" s="1" t="n">
        <v>45020</v>
      </c>
      <c r="E22" s="1" t="n">
        <v>46302</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46302</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46302</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46302</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46302</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25459-2023</t>
        </is>
      </c>
      <c r="B27" t="inlineStr">
        <is>
          <t>avverkningsanmälan</t>
        </is>
      </c>
      <c r="C27" t="inlineStr">
        <is>
          <t>Föryngringsavverkning</t>
        </is>
      </c>
      <c r="D27" s="1" t="n">
        <v>45089</v>
      </c>
      <c r="E27" s="1" t="n">
        <v>46302</v>
      </c>
      <c r="F27" t="inlineStr">
        <is>
          <t>STOCKHOLMS LÄN</t>
        </is>
      </c>
      <c r="G27" t="inlineStr">
        <is>
          <t>SIGTUNA</t>
        </is>
      </c>
      <c r="H27" t="inlineStr">
        <is>
          <t>Sveaskog</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46302</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46302</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37392-2024</t>
        </is>
      </c>
      <c r="B30" t="inlineStr">
        <is>
          <t>avverkningsanmälan</t>
        </is>
      </c>
      <c r="C30" t="inlineStr">
        <is>
          <t>Föryngringsavverkning</t>
        </is>
      </c>
      <c r="D30" s="1" t="n">
        <v>45540</v>
      </c>
      <c r="E30" s="1" t="n">
        <v>46302</v>
      </c>
      <c r="F30" t="inlineStr">
        <is>
          <t>STOCKHOLMS LÄN</t>
        </is>
      </c>
      <c r="G30" t="inlineStr">
        <is>
          <t>SIGTUNA</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24636-2023</t>
        </is>
      </c>
      <c r="B31" t="inlineStr">
        <is>
          <t>avverkningsanmälan</t>
        </is>
      </c>
      <c r="C31" t="inlineStr">
        <is>
          <t>Föryngringsavverkning</t>
        </is>
      </c>
      <c r="D31" s="1" t="n">
        <v>45084</v>
      </c>
      <c r="E31" s="1" t="n">
        <v>46302</v>
      </c>
      <c r="F31" t="inlineStr">
        <is>
          <t>STOCKHOLMS LÄN</t>
        </is>
      </c>
      <c r="G31" t="inlineStr">
        <is>
          <t>SIGTUNA</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10790-2023</t>
        </is>
      </c>
      <c r="B32" t="inlineStr">
        <is>
          <t>avverkningsanmälan</t>
        </is>
      </c>
      <c r="C32" t="inlineStr">
        <is>
          <t>Föryngringsavverkning</t>
        </is>
      </c>
      <c r="D32" s="1" t="n">
        <v>44989</v>
      </c>
      <c r="E32" s="1" t="n">
        <v>46302</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24967-2024</t>
        </is>
      </c>
      <c r="B33" t="inlineStr">
        <is>
          <t>avverkningsanmälan</t>
        </is>
      </c>
      <c r="C33" t="inlineStr">
        <is>
          <t>Föryngringsavverkning</t>
        </is>
      </c>
      <c r="D33" s="1" t="n">
        <v>45461</v>
      </c>
      <c r="E33" s="1" t="n">
        <v>46302</v>
      </c>
      <c r="F33" t="inlineStr">
        <is>
          <t>STOCKHOLMS LÄN</t>
        </is>
      </c>
      <c r="G33" t="inlineStr">
        <is>
          <t>SIGTUNA</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862-2022</t>
        </is>
      </c>
      <c r="B34" t="inlineStr">
        <is>
          <t>avverkningsanmälan</t>
        </is>
      </c>
      <c r="C34" t="inlineStr">
        <is>
          <t>Avverkning för annat ändamål</t>
        </is>
      </c>
      <c r="D34" s="1" t="n">
        <v>44571</v>
      </c>
      <c r="E34" s="1" t="n">
        <v>46302</v>
      </c>
      <c r="F34" t="inlineStr">
        <is>
          <t>STOCKHOLMS LÄN</t>
        </is>
      </c>
      <c r="G34" t="inlineStr">
        <is>
          <t>SIGTUNA</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41693-2022</t>
        </is>
      </c>
      <c r="B35" t="inlineStr">
        <is>
          <t>avverkningsanmälan</t>
        </is>
      </c>
      <c r="C35" t="inlineStr">
        <is>
          <t>Föryngringsavverkning</t>
        </is>
      </c>
      <c r="D35" s="1" t="n">
        <v>44827</v>
      </c>
      <c r="E35" s="1" t="n">
        <v>46302</v>
      </c>
      <c r="F35" t="inlineStr">
        <is>
          <t>STOCKHOLMS LÄN</t>
        </is>
      </c>
      <c r="G35" t="inlineStr">
        <is>
          <t>SIGTUNA</t>
        </is>
      </c>
      <c r="H35" t="inlineStr">
        <is>
          <t>Allmännings- och besparingsskogar</t>
        </is>
      </c>
      <c r="I35" t="n">
        <v>0.8</v>
      </c>
      <c r="J35" t="n">
        <v>0</v>
      </c>
      <c r="K35" t="n">
        <v>0</v>
      </c>
      <c r="L35" t="n">
        <v>0</v>
      </c>
      <c r="M35" t="n">
        <v>0</v>
      </c>
      <c r="N35" t="n">
        <v>0</v>
      </c>
      <c r="O35" t="n">
        <v>0</v>
      </c>
      <c r="P35" t="n">
        <v>0</v>
      </c>
      <c r="Q35" t="n">
        <v>0</v>
      </c>
      <c r="R35" t="n">
        <v>0</v>
      </c>
      <c r="S35" t="n">
        <v>0</v>
      </c>
      <c r="T35" t="n">
        <v>0</v>
      </c>
      <c r="U35" t="n">
        <v>0</v>
      </c>
      <c r="V35" s="2" t="inlineStr"/>
    </row>
    <row r="36" ht="15" customHeight="1">
      <c r="A36" t="inlineStr">
        <is>
          <t>A 3673-2026</t>
        </is>
      </c>
      <c r="B36" t="inlineStr">
        <is>
          <t>avverkningsanmälan</t>
        </is>
      </c>
      <c r="C36" t="inlineStr">
        <is>
          <t>Föryngringsavverkning</t>
        </is>
      </c>
      <c r="D36" s="1" t="n">
        <v>46043</v>
      </c>
      <c r="E36" s="1" t="n">
        <v>46302</v>
      </c>
      <c r="F36" t="inlineStr">
        <is>
          <t>STOCKHOLMS LÄN</t>
        </is>
      </c>
      <c r="G36" t="inlineStr">
        <is>
          <t>SIGTUNA</t>
        </is>
      </c>
      <c r="I36" t="n">
        <v>3.8</v>
      </c>
      <c r="J36" t="n">
        <v>0</v>
      </c>
      <c r="K36" t="n">
        <v>0</v>
      </c>
      <c r="L36" t="n">
        <v>0</v>
      </c>
      <c r="M36" t="n">
        <v>0</v>
      </c>
      <c r="N36" t="n">
        <v>0</v>
      </c>
      <c r="O36" t="n">
        <v>0</v>
      </c>
      <c r="P36" t="n">
        <v>0</v>
      </c>
      <c r="Q36" t="n">
        <v>0</v>
      </c>
      <c r="R36" t="n">
        <v>0</v>
      </c>
      <c r="S36" t="n">
        <v>0</v>
      </c>
      <c r="T36" t="n">
        <v>0</v>
      </c>
      <c r="U36" t="n">
        <v>0</v>
      </c>
      <c r="V36" s="2" t="inlineStr"/>
    </row>
    <row r="37" ht="15" customHeight="1">
      <c r="A37" t="inlineStr">
        <is>
          <t>A 4788-2026</t>
        </is>
      </c>
      <c r="B37" t="inlineStr">
        <is>
          <t>avverkningsanmälan</t>
        </is>
      </c>
      <c r="C37" t="inlineStr">
        <is>
          <t>Föryngringsavverkning</t>
        </is>
      </c>
      <c r="D37" s="1" t="n">
        <v>46048</v>
      </c>
      <c r="E37" s="1" t="n">
        <v>46302</v>
      </c>
      <c r="F37" t="inlineStr">
        <is>
          <t>STOCKHOLMS LÄN</t>
        </is>
      </c>
      <c r="G37" t="inlineStr">
        <is>
          <t>SIGTUNA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46302</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46302</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12052-2026</t>
        </is>
      </c>
      <c r="B40" t="inlineStr">
        <is>
          <t>avverkningsanmälan</t>
        </is>
      </c>
      <c r="C40" t="inlineStr">
        <is>
          <t>Föryngringsavverkning</t>
        </is>
      </c>
      <c r="D40" s="1" t="n">
        <v>46086</v>
      </c>
      <c r="E40" s="1" t="n">
        <v>46302</v>
      </c>
      <c r="F40" t="inlineStr">
        <is>
          <t>STOCKHOLMS LÄN</t>
        </is>
      </c>
      <c r="G40" t="inlineStr">
        <is>
          <t>SIGTUNA</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47392-2025</t>
        </is>
      </c>
      <c r="B41" t="inlineStr">
        <is>
          <t>avverkningsanmälan</t>
        </is>
      </c>
      <c r="C41" t="inlineStr">
        <is>
          <t>Föryngringsavverkning</t>
        </is>
      </c>
      <c r="D41" s="1" t="n">
        <v>45930</v>
      </c>
      <c r="E41" s="1" t="n">
        <v>46302</v>
      </c>
      <c r="F41" t="inlineStr">
        <is>
          <t>STOCKHOLMS LÄN</t>
        </is>
      </c>
      <c r="G41" t="inlineStr">
        <is>
          <t>SIGTUNA</t>
        </is>
      </c>
      <c r="I41" t="n">
        <v>3.3</v>
      </c>
      <c r="J41" t="n">
        <v>0</v>
      </c>
      <c r="K41" t="n">
        <v>0</v>
      </c>
      <c r="L41" t="n">
        <v>0</v>
      </c>
      <c r="M41" t="n">
        <v>0</v>
      </c>
      <c r="N41" t="n">
        <v>0</v>
      </c>
      <c r="O41" t="n">
        <v>0</v>
      </c>
      <c r="P41" t="n">
        <v>0</v>
      </c>
      <c r="Q41" t="n">
        <v>0</v>
      </c>
      <c r="R41" t="n">
        <v>0</v>
      </c>
      <c r="S41" t="n">
        <v>0</v>
      </c>
      <c r="T41" t="n">
        <v>0</v>
      </c>
      <c r="U41" t="n">
        <v>0</v>
      </c>
      <c r="V41" s="2" t="inlineStr"/>
    </row>
    <row r="42" ht="15" customHeight="1">
      <c r="A42" t="inlineStr">
        <is>
          <t>A 13662-2026</t>
        </is>
      </c>
      <c r="B42" t="inlineStr">
        <is>
          <t>avverkningsanmälan</t>
        </is>
      </c>
      <c r="C42" t="inlineStr">
        <is>
          <t>Föryngringsavverkning</t>
        </is>
      </c>
      <c r="D42" s="1" t="n">
        <v>46097</v>
      </c>
      <c r="E42" s="1" t="n">
        <v>46302</v>
      </c>
      <c r="F42" t="inlineStr">
        <is>
          <t>STOCKHOLMS LÄN</t>
        </is>
      </c>
      <c r="G42" t="inlineStr">
        <is>
          <t>SIGTUNA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28752-2024</t>
        </is>
      </c>
      <c r="B43" t="inlineStr">
        <is>
          <t>avverkningsanmälan</t>
        </is>
      </c>
      <c r="C43" t="inlineStr">
        <is>
          <t>Föryngringsavverkning</t>
        </is>
      </c>
      <c r="D43" s="1" t="n">
        <v>45478</v>
      </c>
      <c r="E43" s="1" t="n">
        <v>46302</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46302</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41702-2023</t>
        </is>
      </c>
      <c r="B45" t="inlineStr">
        <is>
          <t>avverkningsanmälan</t>
        </is>
      </c>
      <c r="C45" t="inlineStr">
        <is>
          <t>Föryngringsavverkning</t>
        </is>
      </c>
      <c r="D45" s="1" t="n">
        <v>45176</v>
      </c>
      <c r="E45" s="1" t="n">
        <v>46302</v>
      </c>
      <c r="F45" t="inlineStr">
        <is>
          <t>STOCKHOLMS LÄN</t>
        </is>
      </c>
      <c r="G45" t="inlineStr">
        <is>
          <t>SIGTUNA</t>
        </is>
      </c>
      <c r="H45" t="inlineStr">
        <is>
          <t>Allmännings- och besparingsskogar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28681-2025</t>
        </is>
      </c>
      <c r="B46" t="inlineStr">
        <is>
          <t>avverkningsanmälan</t>
        </is>
      </c>
      <c r="C46" t="inlineStr">
        <is>
          <t>Föryngringsavverkning</t>
        </is>
      </c>
      <c r="D46" s="1" t="n">
        <v>45819</v>
      </c>
      <c r="E46" s="1" t="n">
        <v>46302</v>
      </c>
      <c r="F46" t="inlineStr">
        <is>
          <t>STOCKHOLMS LÄN</t>
        </is>
      </c>
      <c r="G46" t="inlineStr">
        <is>
          <t>SIGTUNA</t>
        </is>
      </c>
      <c r="I46" t="n">
        <v>7.5</v>
      </c>
      <c r="J46" t="n">
        <v>0</v>
      </c>
      <c r="K46" t="n">
        <v>0</v>
      </c>
      <c r="L46" t="n">
        <v>0</v>
      </c>
      <c r="M46" t="n">
        <v>0</v>
      </c>
      <c r="N46" t="n">
        <v>0</v>
      </c>
      <c r="O46" t="n">
        <v>0</v>
      </c>
      <c r="P46" t="n">
        <v>0</v>
      </c>
      <c r="Q46" t="n">
        <v>0</v>
      </c>
      <c r="R46" t="n">
        <v>0</v>
      </c>
      <c r="S46" t="n">
        <v>0</v>
      </c>
      <c r="T46" t="n">
        <v>0</v>
      </c>
      <c r="U46" t="n">
        <v>0</v>
      </c>
      <c r="V46" s="2" t="inlineStr"/>
    </row>
    <row r="47" ht="15" customHeight="1">
      <c r="A47" t="inlineStr">
        <is>
          <t>A 36179-2022</t>
        </is>
      </c>
      <c r="B47" t="inlineStr">
        <is>
          <t>avverkningsanmälan</t>
        </is>
      </c>
      <c r="C47" t="inlineStr">
        <is>
          <t>Föryngringsavverkning</t>
        </is>
      </c>
      <c r="D47" s="1" t="n">
        <v>44803</v>
      </c>
      <c r="E47" s="1" t="n">
        <v>46302</v>
      </c>
      <c r="F47" t="inlineStr">
        <is>
          <t>STOCKHOLMS LÄN</t>
        </is>
      </c>
      <c r="G47" t="inlineStr">
        <is>
          <t>SIGTUNA</t>
        </is>
      </c>
      <c r="I47" t="n">
        <v>6.1</v>
      </c>
      <c r="J47" t="n">
        <v>0</v>
      </c>
      <c r="K47" t="n">
        <v>0</v>
      </c>
      <c r="L47" t="n">
        <v>0</v>
      </c>
      <c r="M47" t="n">
        <v>0</v>
      </c>
      <c r="N47" t="n">
        <v>0</v>
      </c>
      <c r="O47" t="n">
        <v>0</v>
      </c>
      <c r="P47" t="n">
        <v>0</v>
      </c>
      <c r="Q47" t="n">
        <v>0</v>
      </c>
      <c r="R47" t="n">
        <v>0</v>
      </c>
      <c r="S47" t="n">
        <v>0</v>
      </c>
      <c r="T47" t="n">
        <v>0</v>
      </c>
      <c r="U47" t="n">
        <v>0</v>
      </c>
      <c r="V47" s="2" t="inlineStr"/>
    </row>
    <row r="48" ht="15" customHeight="1">
      <c r="A48" t="inlineStr">
        <is>
          <t>A 17286-2022</t>
        </is>
      </c>
      <c r="B48" t="inlineStr">
        <is>
          <t>avverkningsanmälan</t>
        </is>
      </c>
      <c r="C48" t="inlineStr">
        <is>
          <t>Avverkning för annat ändamål</t>
        </is>
      </c>
      <c r="D48" s="1" t="n">
        <v>44678</v>
      </c>
      <c r="E48" s="1" t="n">
        <v>46302</v>
      </c>
      <c r="F48" t="inlineStr">
        <is>
          <t>STOCKHOLMS LÄN</t>
        </is>
      </c>
      <c r="G48" t="inlineStr">
        <is>
          <t>SIGTUNA</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42572-2024</t>
        </is>
      </c>
      <c r="B49" t="inlineStr">
        <is>
          <t>avverkningsanmälan</t>
        </is>
      </c>
      <c r="C49" t="inlineStr">
        <is>
          <t>Föryngringsavverkning</t>
        </is>
      </c>
      <c r="D49" s="1" t="n">
        <v>45565</v>
      </c>
      <c r="E49" s="1" t="n">
        <v>46302</v>
      </c>
      <c r="F49" t="inlineStr">
        <is>
          <t>STOCKHOLMS LÄN</t>
        </is>
      </c>
      <c r="G49" t="inlineStr">
        <is>
          <t>SIGTUNA</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45233-2024</t>
        </is>
      </c>
      <c r="B50" t="inlineStr">
        <is>
          <t>avverkningsanmälan</t>
        </is>
      </c>
      <c r="C50" t="inlineStr">
        <is>
          <t>Föryngringsavverkning</t>
        </is>
      </c>
      <c r="D50" s="1" t="n">
        <v>45575</v>
      </c>
      <c r="E50" s="1" t="n">
        <v>46302</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59957-2023</t>
        </is>
      </c>
      <c r="B51" t="inlineStr">
        <is>
          <t>avverkningsanmälan</t>
        </is>
      </c>
      <c r="C51" t="inlineStr">
        <is>
          <t>Föryngringsavverkning</t>
        </is>
      </c>
      <c r="D51" s="1" t="n">
        <v>45257</v>
      </c>
      <c r="E51" s="1" t="n">
        <v>46302</v>
      </c>
      <c r="F51" t="inlineStr">
        <is>
          <t>STOCKHOLMS LÄN</t>
        </is>
      </c>
      <c r="G51" t="inlineStr">
        <is>
          <t>SIGTUNA</t>
        </is>
      </c>
      <c r="H51" t="inlineStr">
        <is>
          <t>Sveaskog</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9856-2024</t>
        </is>
      </c>
      <c r="B52" t="inlineStr">
        <is>
          <t>avverkningsanmälan</t>
        </is>
      </c>
      <c r="C52" t="inlineStr">
        <is>
          <t>Avverkning för annat ändamål</t>
        </is>
      </c>
      <c r="D52" s="1" t="n">
        <v>45363</v>
      </c>
      <c r="E52" s="1" t="n">
        <v>46302</v>
      </c>
      <c r="F52" t="inlineStr">
        <is>
          <t>STOCKHOLMS LÄN</t>
        </is>
      </c>
      <c r="G52" t="inlineStr">
        <is>
          <t>SIGTUNA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22913-2026</t>
        </is>
      </c>
      <c r="B53" t="inlineStr">
        <is>
          <t>avverkningsanmälan</t>
        </is>
      </c>
      <c r="C53" t="inlineStr">
        <is>
          <t>Föryngringsavverkning</t>
        </is>
      </c>
      <c r="D53" s="1" t="n">
        <v>46159</v>
      </c>
      <c r="E53" s="1" t="n">
        <v>46302</v>
      </c>
      <c r="F53" t="inlineStr">
        <is>
          <t>STOCKHOLMS LÄN</t>
        </is>
      </c>
      <c r="G53" t="inlineStr">
        <is>
          <t>SIGTUNA</t>
        </is>
      </c>
      <c r="H53" t="inlineStr">
        <is>
          <t>Sveaskog</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32424-2023</t>
        </is>
      </c>
      <c r="B54" t="inlineStr">
        <is>
          <t>avverkningsanmälan</t>
        </is>
      </c>
      <c r="C54" t="inlineStr">
        <is>
          <t>Föryngringsavverkning</t>
        </is>
      </c>
      <c r="D54" s="1" t="n">
        <v>45110</v>
      </c>
      <c r="E54" s="1" t="n">
        <v>46302</v>
      </c>
      <c r="F54" t="inlineStr">
        <is>
          <t>STOCKHOLMS LÄN</t>
        </is>
      </c>
      <c r="G54" t="inlineStr">
        <is>
          <t>SIGTUNA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32426-2023</t>
        </is>
      </c>
      <c r="B55" t="inlineStr">
        <is>
          <t>avverkningsanmälan</t>
        </is>
      </c>
      <c r="C55" t="inlineStr">
        <is>
          <t>Föryngringsavverkning</t>
        </is>
      </c>
      <c r="D55" s="1" t="n">
        <v>45110</v>
      </c>
      <c r="E55" s="1" t="n">
        <v>46302</v>
      </c>
      <c r="F55" t="inlineStr">
        <is>
          <t>STOCKHOLMS LÄN</t>
        </is>
      </c>
      <c r="G55" t="inlineStr">
        <is>
          <t>SIGTUNA</t>
        </is>
      </c>
      <c r="I55" t="n">
        <v>3.1</v>
      </c>
      <c r="J55" t="n">
        <v>0</v>
      </c>
      <c r="K55" t="n">
        <v>0</v>
      </c>
      <c r="L55" t="n">
        <v>0</v>
      </c>
      <c r="M55" t="n">
        <v>0</v>
      </c>
      <c r="N55" t="n">
        <v>0</v>
      </c>
      <c r="O55" t="n">
        <v>0</v>
      </c>
      <c r="P55" t="n">
        <v>0</v>
      </c>
      <c r="Q55" t="n">
        <v>0</v>
      </c>
      <c r="R55" t="n">
        <v>0</v>
      </c>
      <c r="S55" t="n">
        <v>0</v>
      </c>
      <c r="T55" t="n">
        <v>0</v>
      </c>
      <c r="U55" t="n">
        <v>0</v>
      </c>
      <c r="V55" s="2" t="inlineStr"/>
    </row>
    <row r="56" ht="15" customHeight="1">
      <c r="A56" t="inlineStr">
        <is>
          <t>A 31695-2022</t>
        </is>
      </c>
      <c r="B56" t="inlineStr">
        <is>
          <t>avverkningsanmälan</t>
        </is>
      </c>
      <c r="C56" t="inlineStr">
        <is>
          <t>Avverkning för att bevara och utveckla /försöksver</t>
        </is>
      </c>
      <c r="D56" s="1" t="n">
        <v>44776</v>
      </c>
      <c r="E56" s="1" t="n">
        <v>46302</v>
      </c>
      <c r="F56" t="inlineStr">
        <is>
          <t>STOCKHOLMS LÄN</t>
        </is>
      </c>
      <c r="G56" t="inlineStr">
        <is>
          <t>SIGTUNA</t>
        </is>
      </c>
      <c r="H56" t="inlineStr">
        <is>
          <t>Kommuner</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17320-2023</t>
        </is>
      </c>
      <c r="B57" t="inlineStr">
        <is>
          <t>avverkningsanmälan</t>
        </is>
      </c>
      <c r="C57" t="inlineStr">
        <is>
          <t>Föryngringsavverkning</t>
        </is>
      </c>
      <c r="D57" s="1" t="n">
        <v>45035</v>
      </c>
      <c r="E57" s="1" t="n">
        <v>46302</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5142-2024</t>
        </is>
      </c>
      <c r="B58" t="inlineStr">
        <is>
          <t>avverkningsanmälan</t>
        </is>
      </c>
      <c r="C58" t="inlineStr">
        <is>
          <t>Avverkning för annat ändamål</t>
        </is>
      </c>
      <c r="D58" s="1" t="n">
        <v>45330</v>
      </c>
      <c r="E58" s="1" t="n">
        <v>46302</v>
      </c>
      <c r="F58" t="inlineStr">
        <is>
          <t>STOCKHOLMS LÄN</t>
        </is>
      </c>
      <c r="G58" t="inlineStr">
        <is>
          <t>SIGTUNA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20957-2023</t>
        </is>
      </c>
      <c r="B59" t="inlineStr">
        <is>
          <t>avverkningsanmälan</t>
        </is>
      </c>
      <c r="C59" t="inlineStr">
        <is>
          <t>Föryngringsavverkning</t>
        </is>
      </c>
      <c r="D59" s="1" t="n">
        <v>45061</v>
      </c>
      <c r="E59" s="1" t="n">
        <v>46302</v>
      </c>
      <c r="F59" t="inlineStr">
        <is>
          <t>STOCKHOLMS LÄN</t>
        </is>
      </c>
      <c r="G59" t="inlineStr">
        <is>
          <t>SIGTUNA</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59165-2022</t>
        </is>
      </c>
      <c r="B60" t="inlineStr">
        <is>
          <t>avverkningsanmälan</t>
        </is>
      </c>
      <c r="C60" t="inlineStr">
        <is>
          <t>Föryngringsavverkning</t>
        </is>
      </c>
      <c r="D60" s="1" t="n">
        <v>44904</v>
      </c>
      <c r="E60" s="1" t="n">
        <v>46302</v>
      </c>
      <c r="F60" t="inlineStr">
        <is>
          <t>STOCKHOLMS LÄN</t>
        </is>
      </c>
      <c r="G60" t="inlineStr">
        <is>
          <t>SIGTUNA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28851-2022</t>
        </is>
      </c>
      <c r="B61" t="inlineStr">
        <is>
          <t>avverkningsanmälan</t>
        </is>
      </c>
      <c r="C61" t="inlineStr">
        <is>
          <t>Föryngringsavverkning</t>
        </is>
      </c>
      <c r="D61" s="1" t="n">
        <v>44749</v>
      </c>
      <c r="E61" s="1" t="n">
        <v>46302</v>
      </c>
      <c r="F61" t="inlineStr">
        <is>
          <t>STOCKHOLMS LÄN</t>
        </is>
      </c>
      <c r="G61" t="inlineStr">
        <is>
          <t>SIGTUNA</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9120-2025</t>
        </is>
      </c>
      <c r="B62" t="inlineStr">
        <is>
          <t>avverkningsanmälan</t>
        </is>
      </c>
      <c r="C62" t="inlineStr">
        <is>
          <t>Föryngringsavverkning</t>
        </is>
      </c>
      <c r="D62" s="1" t="n">
        <v>45713</v>
      </c>
      <c r="E62" s="1" t="n">
        <v>46302</v>
      </c>
      <c r="F62" t="inlineStr">
        <is>
          <t>STOCKHOLMS LÄN</t>
        </is>
      </c>
      <c r="G62" t="inlineStr">
        <is>
          <t>SIGTUNA</t>
        </is>
      </c>
      <c r="H62" t="inlineStr">
        <is>
          <t>Allmännings- och besparingsskogar</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61937-2021</t>
        </is>
      </c>
      <c r="B63" t="inlineStr">
        <is>
          <t>avverkningsanmälan</t>
        </is>
      </c>
      <c r="C63" t="inlineStr">
        <is>
          <t>Avverkning för annat ändamål</t>
        </is>
      </c>
      <c r="D63" s="1" t="n">
        <v>44502</v>
      </c>
      <c r="E63" s="1" t="n">
        <v>46302</v>
      </c>
      <c r="F63" t="inlineStr">
        <is>
          <t>STOCKHOLMS LÄN</t>
        </is>
      </c>
      <c r="G63" t="inlineStr">
        <is>
          <t>SIGTUNA</t>
        </is>
      </c>
      <c r="I63" t="n">
        <v>14.7</v>
      </c>
      <c r="J63" t="n">
        <v>0</v>
      </c>
      <c r="K63" t="n">
        <v>0</v>
      </c>
      <c r="L63" t="n">
        <v>0</v>
      </c>
      <c r="M63" t="n">
        <v>0</v>
      </c>
      <c r="N63" t="n">
        <v>0</v>
      </c>
      <c r="O63" t="n">
        <v>0</v>
      </c>
      <c r="P63" t="n">
        <v>0</v>
      </c>
      <c r="Q63" t="n">
        <v>0</v>
      </c>
      <c r="R63" t="n">
        <v>0</v>
      </c>
      <c r="S63" t="n">
        <v>0</v>
      </c>
      <c r="T63" t="n">
        <v>0</v>
      </c>
      <c r="U63" t="n">
        <v>0</v>
      </c>
      <c r="V63" s="2" t="inlineStr"/>
    </row>
    <row r="64" ht="15" customHeight="1">
      <c r="A64" t="inlineStr">
        <is>
          <t>A 45319-2023</t>
        </is>
      </c>
      <c r="B64" t="inlineStr">
        <is>
          <t>avverkningsanmälan</t>
        </is>
      </c>
      <c r="C64" t="inlineStr">
        <is>
          <t>Föryngringsavverkning</t>
        </is>
      </c>
      <c r="D64" s="1" t="n">
        <v>45191</v>
      </c>
      <c r="E64" s="1" t="n">
        <v>46302</v>
      </c>
      <c r="F64" t="inlineStr">
        <is>
          <t>STOCKHOLMS LÄN</t>
        </is>
      </c>
      <c r="G64" t="inlineStr">
        <is>
          <t>SIGTUNA</t>
        </is>
      </c>
      <c r="H64" t="inlineStr">
        <is>
          <t>Allmännings- och besparingsskogar</t>
        </is>
      </c>
      <c r="I64" t="n">
        <v>2.7</v>
      </c>
      <c r="J64" t="n">
        <v>0</v>
      </c>
      <c r="K64" t="n">
        <v>0</v>
      </c>
      <c r="L64" t="n">
        <v>0</v>
      </c>
      <c r="M64" t="n">
        <v>0</v>
      </c>
      <c r="N64" t="n">
        <v>0</v>
      </c>
      <c r="O64" t="n">
        <v>0</v>
      </c>
      <c r="P64" t="n">
        <v>0</v>
      </c>
      <c r="Q64" t="n">
        <v>0</v>
      </c>
      <c r="R64" t="n">
        <v>0</v>
      </c>
      <c r="S64" t="n">
        <v>0</v>
      </c>
      <c r="T64" t="n">
        <v>0</v>
      </c>
      <c r="U64" t="n">
        <v>0</v>
      </c>
      <c r="V64" s="2" t="inlineStr"/>
    </row>
    <row r="65" ht="15" customHeight="1">
      <c r="A65" t="inlineStr">
        <is>
          <t>A 60935-2023</t>
        </is>
      </c>
      <c r="B65" t="inlineStr">
        <is>
          <t>avverkningsanmälan</t>
        </is>
      </c>
      <c r="C65" t="inlineStr">
        <is>
          <t>Föryngringsavverkning</t>
        </is>
      </c>
      <c r="D65" s="1" t="n">
        <v>45261</v>
      </c>
      <c r="E65" s="1" t="n">
        <v>46302</v>
      </c>
      <c r="F65" t="inlineStr">
        <is>
          <t>STOCKHOLMS LÄN</t>
        </is>
      </c>
      <c r="G65" t="inlineStr">
        <is>
          <t>SIGTUNA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20375-2023</t>
        </is>
      </c>
      <c r="B66" t="inlineStr">
        <is>
          <t>avverkningsanmälan</t>
        </is>
      </c>
      <c r="C66" t="inlineStr">
        <is>
          <t>Föryngringsavverkning</t>
        </is>
      </c>
      <c r="D66" s="1" t="n">
        <v>45054</v>
      </c>
      <c r="E66" s="1" t="n">
        <v>46302</v>
      </c>
      <c r="F66" t="inlineStr">
        <is>
          <t>STOCKHOLMS LÄN</t>
        </is>
      </c>
      <c r="G66" t="inlineStr">
        <is>
          <t>SIGTUNA</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38276-2023</t>
        </is>
      </c>
      <c r="B67" t="inlineStr">
        <is>
          <t>avverkningsanmälan</t>
        </is>
      </c>
      <c r="C67" t="inlineStr">
        <is>
          <t>Föryngringsavverkning</t>
        </is>
      </c>
      <c r="D67" s="1" t="n">
        <v>45160</v>
      </c>
      <c r="E67" s="1" t="n">
        <v>46302</v>
      </c>
      <c r="F67" t="inlineStr">
        <is>
          <t>STOCKHOLMS LÄN</t>
        </is>
      </c>
      <c r="G67" t="inlineStr">
        <is>
          <t>SIGTUNA</t>
        </is>
      </c>
      <c r="I67" t="n">
        <v>18.1</v>
      </c>
      <c r="J67" t="n">
        <v>0</v>
      </c>
      <c r="K67" t="n">
        <v>0</v>
      </c>
      <c r="L67" t="n">
        <v>0</v>
      </c>
      <c r="M67" t="n">
        <v>0</v>
      </c>
      <c r="N67" t="n">
        <v>0</v>
      </c>
      <c r="O67" t="n">
        <v>0</v>
      </c>
      <c r="P67" t="n">
        <v>0</v>
      </c>
      <c r="Q67" t="n">
        <v>0</v>
      </c>
      <c r="R67" t="n">
        <v>0</v>
      </c>
      <c r="S67" t="n">
        <v>0</v>
      </c>
      <c r="T67" t="n">
        <v>0</v>
      </c>
      <c r="U67" t="n">
        <v>0</v>
      </c>
      <c r="V67" s="2" t="inlineStr"/>
    </row>
    <row r="68" ht="15" customHeight="1">
      <c r="A68" t="inlineStr">
        <is>
          <t>A 37345-2026</t>
        </is>
      </c>
      <c r="B68" t="inlineStr">
        <is>
          <t>avverkningsanmälan</t>
        </is>
      </c>
      <c r="C68" t="inlineStr">
        <is>
          <t>Föryngringsavverkning</t>
        </is>
      </c>
      <c r="D68" s="1" t="n">
        <v>46275</v>
      </c>
      <c r="E68" s="1" t="n">
        <v>46302</v>
      </c>
      <c r="F68" t="inlineStr">
        <is>
          <t>STOCKHOLMS LÄN</t>
        </is>
      </c>
      <c r="G68" t="inlineStr">
        <is>
          <t>SIGTUNA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2496-2024</t>
        </is>
      </c>
      <c r="B69" t="inlineStr">
        <is>
          <t>avverkningsanmälan</t>
        </is>
      </c>
      <c r="C69" t="inlineStr">
        <is>
          <t>Föryngringsavverkning</t>
        </is>
      </c>
      <c r="D69" s="1" t="n">
        <v>45313</v>
      </c>
      <c r="E69" s="1" t="n">
        <v>46302</v>
      </c>
      <c r="F69" t="inlineStr">
        <is>
          <t>STOCKHOLMS LÄN</t>
        </is>
      </c>
      <c r="G69" t="inlineStr">
        <is>
          <t>SIGTUNA</t>
        </is>
      </c>
      <c r="H69" t="inlineStr">
        <is>
          <t>Kommuner</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59168-2022</t>
        </is>
      </c>
      <c r="B70" t="inlineStr">
        <is>
          <t>avverkningsanmälan</t>
        </is>
      </c>
      <c r="C70" t="inlineStr">
        <is>
          <t>Föryngringsavverkning</t>
        </is>
      </c>
      <c r="D70" s="1" t="n">
        <v>44904</v>
      </c>
      <c r="E70" s="1" t="n">
        <v>46302</v>
      </c>
      <c r="F70" t="inlineStr">
        <is>
          <t>STOCKHOLMS LÄN</t>
        </is>
      </c>
      <c r="G70" t="inlineStr">
        <is>
          <t>SIGTUNA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72530-2021</t>
        </is>
      </c>
      <c r="B71" t="inlineStr">
        <is>
          <t>avverkningsanmälan</t>
        </is>
      </c>
      <c r="C71" t="inlineStr">
        <is>
          <t>Avverkning för annat ändamål</t>
        </is>
      </c>
      <c r="D71" s="1" t="n">
        <v>44546</v>
      </c>
      <c r="E71" s="1" t="n">
        <v>46302</v>
      </c>
      <c r="F71" t="inlineStr">
        <is>
          <t>STOCKHOLMS LÄN</t>
        </is>
      </c>
      <c r="G71" t="inlineStr">
        <is>
          <t>SIGTUNA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38695-2026</t>
        </is>
      </c>
      <c r="B72" t="inlineStr">
        <is>
          <t>avverkningsanmälan</t>
        </is>
      </c>
      <c r="C72" t="inlineStr">
        <is>
          <t>Föryngringsavverkning</t>
        </is>
      </c>
      <c r="D72" s="1" t="n">
        <v>46283</v>
      </c>
      <c r="E72" s="1" t="n">
        <v>46302</v>
      </c>
      <c r="F72" t="inlineStr">
        <is>
          <t>STOCKHOLMS LÄN</t>
        </is>
      </c>
      <c r="G72" t="inlineStr">
        <is>
          <t>SIGTUNA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20960-2023</t>
        </is>
      </c>
      <c r="B73" t="inlineStr">
        <is>
          <t>avverkningsanmälan</t>
        </is>
      </c>
      <c r="C73" t="inlineStr">
        <is>
          <t>Föryngringsavverkning</t>
        </is>
      </c>
      <c r="D73" s="1" t="n">
        <v>45061</v>
      </c>
      <c r="E73" s="1" t="n">
        <v>46302</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58619-2023</t>
        </is>
      </c>
      <c r="B74" t="inlineStr">
        <is>
          <t>avverkningsanmälan</t>
        </is>
      </c>
      <c r="C74" t="inlineStr">
        <is>
          <t>Föryngringsavverkning</t>
        </is>
      </c>
      <c r="D74" s="1" t="n">
        <v>45251</v>
      </c>
      <c r="E74" s="1" t="n">
        <v>46302</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43700-2023</t>
        </is>
      </c>
      <c r="B75" t="inlineStr">
        <is>
          <t>avverkningsanmälan</t>
        </is>
      </c>
      <c r="C75" t="inlineStr">
        <is>
          <t>Föryngringsavverkning</t>
        </is>
      </c>
      <c r="D75" s="1" t="n">
        <v>45187</v>
      </c>
      <c r="E75" s="1" t="n">
        <v>46302</v>
      </c>
      <c r="F75" t="inlineStr">
        <is>
          <t>STOCKHOLMS LÄN</t>
        </is>
      </c>
      <c r="G75" t="inlineStr">
        <is>
          <t>SIGTUNA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56796-2022</t>
        </is>
      </c>
      <c r="B76" t="inlineStr">
        <is>
          <t>avverkningsanmälan</t>
        </is>
      </c>
      <c r="C76" t="inlineStr">
        <is>
          <t>Föryngringsavverkning</t>
        </is>
      </c>
      <c r="D76" s="1" t="n">
        <v>44894</v>
      </c>
      <c r="E76" s="1" t="n">
        <v>46302</v>
      </c>
      <c r="F76" t="inlineStr">
        <is>
          <t>STOCKHOLMS LÄN</t>
        </is>
      </c>
      <c r="G76" t="inlineStr">
        <is>
          <t>SIGTUNA</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46302</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60922-2023</t>
        </is>
      </c>
      <c r="B78" t="inlineStr">
        <is>
          <t>avverkningsanmälan</t>
        </is>
      </c>
      <c r="C78" t="inlineStr">
        <is>
          <t>Föryngringsavverkning</t>
        </is>
      </c>
      <c r="D78" s="1" t="n">
        <v>45261</v>
      </c>
      <c r="E78" s="1" t="n">
        <v>46302</v>
      </c>
      <c r="F78" t="inlineStr">
        <is>
          <t>STOCKHOLMS LÄN</t>
        </is>
      </c>
      <c r="G78" t="inlineStr">
        <is>
          <t>SIGTUNA</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273-2025</t>
        </is>
      </c>
      <c r="B79" t="inlineStr">
        <is>
          <t>avverkningsanmälan</t>
        </is>
      </c>
      <c r="C79" t="inlineStr">
        <is>
          <t>Avverkning för annat ändamål</t>
        </is>
      </c>
      <c r="D79" s="1" t="n">
        <v>45653</v>
      </c>
      <c r="E79" s="1" t="n">
        <v>46302</v>
      </c>
      <c r="F79" t="inlineStr">
        <is>
          <t>STOCKHOLMS LÄN</t>
        </is>
      </c>
      <c r="G79" t="inlineStr">
        <is>
          <t>SIGTUNA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38465-2023</t>
        </is>
      </c>
      <c r="B80" t="inlineStr">
        <is>
          <t>avverkningsanmälan</t>
        </is>
      </c>
      <c r="C80" t="inlineStr">
        <is>
          <t>Föryngringsavverkning</t>
        </is>
      </c>
      <c r="D80" s="1" t="n">
        <v>45162</v>
      </c>
      <c r="E80" s="1" t="n">
        <v>46302</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7214-2022</t>
        </is>
      </c>
      <c r="B81" t="inlineStr">
        <is>
          <t>avverkningsanmälan</t>
        </is>
      </c>
      <c r="C81" t="inlineStr">
        <is>
          <t>Föryngringsavverkning</t>
        </is>
      </c>
      <c r="D81" s="1" t="n">
        <v>44606</v>
      </c>
      <c r="E81" s="1" t="n">
        <v>46302</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11285-2023</t>
        </is>
      </c>
      <c r="B82" t="inlineStr">
        <is>
          <t>avverkningsanmälan</t>
        </is>
      </c>
      <c r="C82" t="inlineStr">
        <is>
          <t>Föryngringsavverkning</t>
        </is>
      </c>
      <c r="D82" s="1" t="n">
        <v>44992</v>
      </c>
      <c r="E82" s="1" t="n">
        <v>46302</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25452-2023</t>
        </is>
      </c>
      <c r="B83" t="inlineStr">
        <is>
          <t>avverkningsanmälan</t>
        </is>
      </c>
      <c r="C83" t="inlineStr">
        <is>
          <t>Föryngringsavverkning</t>
        </is>
      </c>
      <c r="D83" s="1" t="n">
        <v>45089</v>
      </c>
      <c r="E83" s="1" t="n">
        <v>46302</v>
      </c>
      <c r="F83" t="inlineStr">
        <is>
          <t>STOCKHOLMS LÄN</t>
        </is>
      </c>
      <c r="G83" t="inlineStr">
        <is>
          <t>SIGTUNA</t>
        </is>
      </c>
      <c r="H83" t="inlineStr">
        <is>
          <t>Sveaskog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60865-2024</t>
        </is>
      </c>
      <c r="B84" t="inlineStr">
        <is>
          <t>avverkningsanmälan</t>
        </is>
      </c>
      <c r="C84" t="inlineStr">
        <is>
          <t>Föryngringsavverkning</t>
        </is>
      </c>
      <c r="D84" s="1" t="n">
        <v>45644</v>
      </c>
      <c r="E84" s="1" t="n">
        <v>46302</v>
      </c>
      <c r="F84" t="inlineStr">
        <is>
          <t>STOCKHOLMS LÄN</t>
        </is>
      </c>
      <c r="G84" t="inlineStr">
        <is>
          <t>SIGTUNA</t>
        </is>
      </c>
      <c r="I84" t="n">
        <v>0.2</v>
      </c>
      <c r="J84" t="n">
        <v>0</v>
      </c>
      <c r="K84" t="n">
        <v>0</v>
      </c>
      <c r="L84" t="n">
        <v>0</v>
      </c>
      <c r="M84" t="n">
        <v>0</v>
      </c>
      <c r="N84" t="n">
        <v>0</v>
      </c>
      <c r="O84" t="n">
        <v>0</v>
      </c>
      <c r="P84" t="n">
        <v>0</v>
      </c>
      <c r="Q84" t="n">
        <v>0</v>
      </c>
      <c r="R84" t="n">
        <v>0</v>
      </c>
      <c r="S84" t="n">
        <v>0</v>
      </c>
      <c r="T84" t="n">
        <v>0</v>
      </c>
      <c r="U84" t="n">
        <v>0</v>
      </c>
      <c r="V84" s="2" t="inlineStr"/>
    </row>
    <row r="85" ht="15" customHeight="1">
      <c r="A85" t="inlineStr">
        <is>
          <t>A 51770-2023</t>
        </is>
      </c>
      <c r="B85" t="inlineStr">
        <is>
          <t>avverkningsanmälan</t>
        </is>
      </c>
      <c r="C85" t="inlineStr">
        <is>
          <t>Föryngringsavverkning</t>
        </is>
      </c>
      <c r="D85" s="1" t="n">
        <v>45222</v>
      </c>
      <c r="E85" s="1" t="n">
        <v>46302</v>
      </c>
      <c r="F85" t="inlineStr">
        <is>
          <t>STOCKHOLMS LÄN</t>
        </is>
      </c>
      <c r="G85" t="inlineStr">
        <is>
          <t>SIGTUNA</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31684-2022</t>
        </is>
      </c>
      <c r="B86" t="inlineStr">
        <is>
          <t>avverkningsanmälan</t>
        </is>
      </c>
      <c r="C86" t="inlineStr">
        <is>
          <t>Avverkning för att bevara och utveckla /försöksver</t>
        </is>
      </c>
      <c r="D86" s="1" t="n">
        <v>44776</v>
      </c>
      <c r="E86" s="1" t="n">
        <v>46302</v>
      </c>
      <c r="F86" t="inlineStr">
        <is>
          <t>STOCKHOLMS LÄN</t>
        </is>
      </c>
      <c r="G86" t="inlineStr">
        <is>
          <t>SIGTUNA</t>
        </is>
      </c>
      <c r="H86" t="inlineStr">
        <is>
          <t>Kommuner</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35966-2024</t>
        </is>
      </c>
      <c r="B87" t="inlineStr">
        <is>
          <t>avverkningsanmälan</t>
        </is>
      </c>
      <c r="C87" t="inlineStr">
        <is>
          <t>Föryngringsavverkning</t>
        </is>
      </c>
      <c r="D87" s="1" t="n">
        <v>45533</v>
      </c>
      <c r="E87" s="1" t="n">
        <v>46302</v>
      </c>
      <c r="F87" t="inlineStr">
        <is>
          <t>STOCKHOLMS LÄN</t>
        </is>
      </c>
      <c r="G87" t="inlineStr">
        <is>
          <t>SIGTUNA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3890-2025</t>
        </is>
      </c>
      <c r="B88" t="inlineStr">
        <is>
          <t>avverkningsanmälan</t>
        </is>
      </c>
      <c r="C88" t="inlineStr">
        <is>
          <t>Föryngringsavverkning</t>
        </is>
      </c>
      <c r="D88" s="1" t="n">
        <v>45684</v>
      </c>
      <c r="E88" s="1" t="n">
        <v>46302</v>
      </c>
      <c r="F88" t="inlineStr">
        <is>
          <t>STOCKHOLMS LÄN</t>
        </is>
      </c>
      <c r="G88" t="inlineStr">
        <is>
          <t>SIGTUNA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43158-2024</t>
        </is>
      </c>
      <c r="B89" t="inlineStr">
        <is>
          <t>avverkningsanmälan</t>
        </is>
      </c>
      <c r="C89" t="inlineStr">
        <is>
          <t>Föryngringsavverkning</t>
        </is>
      </c>
      <c r="D89" s="1" t="n">
        <v>45567</v>
      </c>
      <c r="E89" s="1" t="n">
        <v>46302</v>
      </c>
      <c r="F89" t="inlineStr">
        <is>
          <t>STOCKHOLMS LÄN</t>
        </is>
      </c>
      <c r="G89" t="inlineStr">
        <is>
          <t>SIGTUNA</t>
        </is>
      </c>
      <c r="I89" t="n">
        <v>5</v>
      </c>
      <c r="J89" t="n">
        <v>0</v>
      </c>
      <c r="K89" t="n">
        <v>0</v>
      </c>
      <c r="L89" t="n">
        <v>0</v>
      </c>
      <c r="M89" t="n">
        <v>0</v>
      </c>
      <c r="N89" t="n">
        <v>0</v>
      </c>
      <c r="O89" t="n">
        <v>0</v>
      </c>
      <c r="P89" t="n">
        <v>0</v>
      </c>
      <c r="Q89" t="n">
        <v>0</v>
      </c>
      <c r="R89" t="n">
        <v>0</v>
      </c>
      <c r="S89" t="n">
        <v>0</v>
      </c>
      <c r="T89" t="n">
        <v>0</v>
      </c>
      <c r="U89" t="n">
        <v>0</v>
      </c>
      <c r="V89" s="2" t="inlineStr"/>
    </row>
    <row r="90" ht="15" customHeight="1">
      <c r="A90" t="inlineStr">
        <is>
          <t>A 24946-2024</t>
        </is>
      </c>
      <c r="B90" t="inlineStr">
        <is>
          <t>avverkningsanmälan</t>
        </is>
      </c>
      <c r="C90" t="inlineStr">
        <is>
          <t>Föryngringsavverkning</t>
        </is>
      </c>
      <c r="D90" s="1" t="n">
        <v>45461</v>
      </c>
      <c r="E90" s="1" t="n">
        <v>46302</v>
      </c>
      <c r="F90" t="inlineStr">
        <is>
          <t>STOCKHOLMS LÄN</t>
        </is>
      </c>
      <c r="G90" t="inlineStr">
        <is>
          <t>SIGTUNA</t>
        </is>
      </c>
      <c r="I90" t="n">
        <v>12.5</v>
      </c>
      <c r="J90" t="n">
        <v>0</v>
      </c>
      <c r="K90" t="n">
        <v>0</v>
      </c>
      <c r="L90" t="n">
        <v>0</v>
      </c>
      <c r="M90" t="n">
        <v>0</v>
      </c>
      <c r="N90" t="n">
        <v>0</v>
      </c>
      <c r="O90" t="n">
        <v>0</v>
      </c>
      <c r="P90" t="n">
        <v>0</v>
      </c>
      <c r="Q90" t="n">
        <v>0</v>
      </c>
      <c r="R90" t="n">
        <v>0</v>
      </c>
      <c r="S90" t="n">
        <v>0</v>
      </c>
      <c r="T90" t="n">
        <v>0</v>
      </c>
      <c r="U90" t="n">
        <v>0</v>
      </c>
      <c r="V90" s="2" t="inlineStr"/>
    </row>
    <row r="91" ht="15" customHeight="1">
      <c r="A91" t="inlineStr">
        <is>
          <t>A 21513-2025</t>
        </is>
      </c>
      <c r="B91" t="inlineStr">
        <is>
          <t>avverkningsanmälan</t>
        </is>
      </c>
      <c r="C91" t="inlineStr">
        <is>
          <t>Föryngringsavverkning</t>
        </is>
      </c>
      <c r="D91" s="1" t="n">
        <v>45782</v>
      </c>
      <c r="E91" s="1" t="n">
        <v>46302</v>
      </c>
      <c r="F91" t="inlineStr">
        <is>
          <t>STOCKHOLMS LÄN</t>
        </is>
      </c>
      <c r="G91" t="inlineStr">
        <is>
          <t>SIGTUNA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19031-2024</t>
        </is>
      </c>
      <c r="B92" t="inlineStr">
        <is>
          <t>avverkningsanmälan</t>
        </is>
      </c>
      <c r="C92" t="inlineStr">
        <is>
          <t>Avverkning för annat ändamål</t>
        </is>
      </c>
      <c r="D92" s="1" t="n">
        <v>45427</v>
      </c>
      <c r="E92" s="1" t="n">
        <v>46302</v>
      </c>
      <c r="F92" t="inlineStr">
        <is>
          <t>STOCKHOLMS LÄN</t>
        </is>
      </c>
      <c r="G92" t="inlineStr">
        <is>
          <t>SIGTUNA</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35961-2024</t>
        </is>
      </c>
      <c r="B93" t="inlineStr">
        <is>
          <t>avverkningsanmälan</t>
        </is>
      </c>
      <c r="C93" t="inlineStr">
        <is>
          <t>Föryngringsavverkning</t>
        </is>
      </c>
      <c r="D93" s="1" t="n">
        <v>45533</v>
      </c>
      <c r="E93" s="1" t="n">
        <v>46302</v>
      </c>
      <c r="F93" t="inlineStr">
        <is>
          <t>STOCKHOLMS LÄN</t>
        </is>
      </c>
      <c r="G93" t="inlineStr">
        <is>
          <t>SIGTUNA</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22402-2025</t>
        </is>
      </c>
      <c r="B94" t="inlineStr">
        <is>
          <t>avverkningsanmälan</t>
        </is>
      </c>
      <c r="C94" t="inlineStr">
        <is>
          <t>Föryngringsavverkning</t>
        </is>
      </c>
      <c r="D94" s="1" t="n">
        <v>45786</v>
      </c>
      <c r="E94" s="1" t="n">
        <v>46302</v>
      </c>
      <c r="F94" t="inlineStr">
        <is>
          <t>STOCKHOLMS LÄN</t>
        </is>
      </c>
      <c r="G94" t="inlineStr">
        <is>
          <t>SIGTUNA</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48375-2024</t>
        </is>
      </c>
      <c r="B95" t="inlineStr">
        <is>
          <t>avverkningsanmälan</t>
        </is>
      </c>
      <c r="C95" t="inlineStr">
        <is>
          <t>Föryngringsavverkning</t>
        </is>
      </c>
      <c r="D95" s="1" t="n">
        <v>45590</v>
      </c>
      <c r="E95" s="1" t="n">
        <v>46302</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24105-2025</t>
        </is>
      </c>
      <c r="B96" t="inlineStr">
        <is>
          <t>avverkningsanmälan</t>
        </is>
      </c>
      <c r="C96" t="inlineStr">
        <is>
          <t>Föryngringsavverkning</t>
        </is>
      </c>
      <c r="D96" s="1" t="n">
        <v>45796</v>
      </c>
      <c r="E96" s="1" t="n">
        <v>46302</v>
      </c>
      <c r="F96" t="inlineStr">
        <is>
          <t>STOCKHOLMS LÄN</t>
        </is>
      </c>
      <c r="G96" t="inlineStr">
        <is>
          <t>SIGTUNA</t>
        </is>
      </c>
      <c r="I96" t="n">
        <v>3</v>
      </c>
      <c r="J96" t="n">
        <v>0</v>
      </c>
      <c r="K96" t="n">
        <v>0</v>
      </c>
      <c r="L96" t="n">
        <v>0</v>
      </c>
      <c r="M96" t="n">
        <v>0</v>
      </c>
      <c r="N96" t="n">
        <v>0</v>
      </c>
      <c r="O96" t="n">
        <v>0</v>
      </c>
      <c r="P96" t="n">
        <v>0</v>
      </c>
      <c r="Q96" t="n">
        <v>0</v>
      </c>
      <c r="R96" t="n">
        <v>0</v>
      </c>
      <c r="S96" t="n">
        <v>0</v>
      </c>
      <c r="T96" t="n">
        <v>0</v>
      </c>
      <c r="U96" t="n">
        <v>0</v>
      </c>
      <c r="V96" s="2" t="inlineStr"/>
    </row>
    <row r="97">
      <c r="A97" t="inlineStr">
        <is>
          <t>A 60934-2023</t>
        </is>
      </c>
      <c r="B97" t="inlineStr">
        <is>
          <t>avverkningsanmälan</t>
        </is>
      </c>
      <c r="C97" t="inlineStr">
        <is>
          <t>Föryngringsavverkning</t>
        </is>
      </c>
      <c r="D97" s="1" t="n">
        <v>45261</v>
      </c>
      <c r="E97" s="1" t="n">
        <v>46302</v>
      </c>
      <c r="F97" t="inlineStr">
        <is>
          <t>STOCKHOLMS LÄN</t>
        </is>
      </c>
      <c r="G97" t="inlineStr">
        <is>
          <t>SIGTUNA</t>
        </is>
      </c>
      <c r="I97" t="n">
        <v>1.1</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2026-10-07T02:07:51Z</dcterms:created>
  <dcterms:modified xmlns:dcterms="http://purl.org/dc/terms/" xmlns:xsi="http://www.w3.org/2001/XMLSchema-instance" xsi:type="dcterms:W3CDTF">2026-10-07T02:07:51Z</dcterms:modified>
</cp:coreProperties>
</file>
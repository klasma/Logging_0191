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4801-2019</t>
        </is>
      </c>
      <c r="B2" s="1" t="n">
        <v>43486</v>
      </c>
      <c r="C2" s="1" t="n">
        <v>45340</v>
      </c>
      <c r="D2" t="inlineStr">
        <is>
          <t>STOCKHOLMS LÄN</t>
        </is>
      </c>
      <c r="E2" t="inlineStr">
        <is>
          <t>SIGTUNA</t>
        </is>
      </c>
      <c r="G2" t="n">
        <v>1.4</v>
      </c>
      <c r="H2" t="n">
        <v>0</v>
      </c>
      <c r="I2" t="n">
        <v>4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Gyllenfingersvamp
Läderdoftande fingersvamp
Blå taggsvamp
Gultoppig fingersvamp
Tallticka
Granriska
Kryddspindling
Stubbspretmossa
Svavelriska</t>
        </is>
      </c>
      <c r="S2">
        <f>HYPERLINK("https://klasma.github.io/Logging_0191/artfynd/A 4801-2019 artfynd.xlsx", "A 4801-2019")</f>
        <v/>
      </c>
      <c r="T2">
        <f>HYPERLINK("https://klasma.github.io/Logging_0191/kartor/A 4801-2019 karta.png", "A 4801-2019")</f>
        <v/>
      </c>
      <c r="V2">
        <f>HYPERLINK("https://klasma.github.io/Logging_0191/klagomål/A 4801-2019 FSC-klagomål.docx", "A 4801-2019")</f>
        <v/>
      </c>
      <c r="W2">
        <f>HYPERLINK("https://klasma.github.io/Logging_0191/klagomålsmail/A 4801-2019 FSC-klagomål mail.docx", "A 4801-2019")</f>
        <v/>
      </c>
      <c r="X2">
        <f>HYPERLINK("https://klasma.github.io/Logging_0191/tillsyn/A 4801-2019 tillsynsbegäran.docx", "A 4801-2019")</f>
        <v/>
      </c>
      <c r="Y2">
        <f>HYPERLINK("https://klasma.github.io/Logging_0191/tillsynsmail/A 4801-2019 tillsynsbegäran mail.docx", "A 4801-2019")</f>
        <v/>
      </c>
    </row>
    <row r="3" ht="15" customHeight="1">
      <c r="A3" t="inlineStr">
        <is>
          <t>A 58658-2023</t>
        </is>
      </c>
      <c r="B3" s="1" t="n">
        <v>45251</v>
      </c>
      <c r="C3" s="1" t="n">
        <v>45340</v>
      </c>
      <c r="D3" t="inlineStr">
        <is>
          <t>STOCKHOLMS LÄN</t>
        </is>
      </c>
      <c r="E3" t="inlineStr">
        <is>
          <t>SIGTUNA</t>
        </is>
      </c>
      <c r="F3" t="inlineStr">
        <is>
          <t>Kommuner</t>
        </is>
      </c>
      <c r="G3" t="n">
        <v>4.8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Aspborre
Entita
Grön aspvedbock
Spillkråka
Granbarkgnagare
Myskbock
Skogsödla
Blåsippa
Gullviva</t>
        </is>
      </c>
      <c r="S3">
        <f>HYPERLINK("https://klasma.github.io/Logging_0191/artfynd/A 58658-2023 artfynd.xlsx", "A 58658-2023")</f>
        <v/>
      </c>
      <c r="T3">
        <f>HYPERLINK("https://klasma.github.io/Logging_0191/kartor/A 58658-2023 karta.png", "A 58658-2023")</f>
        <v/>
      </c>
      <c r="V3">
        <f>HYPERLINK("https://klasma.github.io/Logging_0191/klagomål/A 58658-2023 FSC-klagomål.docx", "A 58658-2023")</f>
        <v/>
      </c>
      <c r="W3">
        <f>HYPERLINK("https://klasma.github.io/Logging_0191/klagomålsmail/A 58658-2023 FSC-klagomål mail.docx", "A 58658-2023")</f>
        <v/>
      </c>
      <c r="X3">
        <f>HYPERLINK("https://klasma.github.io/Logging_0191/tillsyn/A 58658-2023 tillsynsbegäran.docx", "A 58658-2023")</f>
        <v/>
      </c>
      <c r="Y3">
        <f>HYPERLINK("https://klasma.github.io/Logging_0191/tillsynsmail/A 58658-2023 tillsynsbegäran mail.docx", "A 58658-2023")</f>
        <v/>
      </c>
      <c r="Z3">
        <f>HYPERLINK("https://klasma.github.io/Logging_0191/fåglar/A 58658-2023 prioriterade fågelarter.docx", "A 58658-2023")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45340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8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Björktrast
Blå kärrhök
Duvhök
Gulsparv
Rödvingetrast
Skrattmås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4794-2019</t>
        </is>
      </c>
      <c r="B5" s="1" t="n">
        <v>43486</v>
      </c>
      <c r="C5" s="1" t="n">
        <v>45340</v>
      </c>
      <c r="D5" t="inlineStr">
        <is>
          <t>STOCKHOLMS LÄN</t>
        </is>
      </c>
      <c r="E5" t="inlineStr">
        <is>
          <t>SIGTUNA</t>
        </is>
      </c>
      <c r="G5" t="n">
        <v>1.3</v>
      </c>
      <c r="H5" t="n">
        <v>0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Läderdoftande fingersvamp
Motaggsvamp
Svart taggsvamp
Tallticka
Blomkålssvamp
Grovticka
Skarp dropptaggsvamp</t>
        </is>
      </c>
      <c r="S5">
        <f>HYPERLINK("https://klasma.github.io/Logging_0191/artfynd/A 4794-2019 artfynd.xlsx", "A 4794-2019")</f>
        <v/>
      </c>
      <c r="T5">
        <f>HYPERLINK("https://klasma.github.io/Logging_0191/kartor/A 4794-2019 karta.png", "A 4794-2019")</f>
        <v/>
      </c>
      <c r="V5">
        <f>HYPERLINK("https://klasma.github.io/Logging_0191/klagomål/A 4794-2019 FSC-klagomål.docx", "A 4794-2019")</f>
        <v/>
      </c>
      <c r="W5">
        <f>HYPERLINK("https://klasma.github.io/Logging_0191/klagomålsmail/A 4794-2019 FSC-klagomål mail.docx", "A 4794-2019")</f>
        <v/>
      </c>
      <c r="X5">
        <f>HYPERLINK("https://klasma.github.io/Logging_0191/tillsyn/A 4794-2019 tillsynsbegäran.docx", "A 4794-2019")</f>
        <v/>
      </c>
      <c r="Y5">
        <f>HYPERLINK("https://klasma.github.io/Logging_0191/tillsynsmail/A 4794-2019 tillsynsbegäran mail.docx", "A 4794-2019")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45340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6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Grönfink
Tofsvipa
Svartvit flugsnappare
Talltita
Vågbandad barkbock
Gröngöling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45340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Kråka
Spillkråka
Thomsons trägnagare
Vanlig flatbagge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45340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5</v>
      </c>
      <c r="I8" t="n">
        <v>0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Tornseglare
Hussvala
Fiskmås
Gulsparv
Ärtsångare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45340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Talltita
Gök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55163-2018</t>
        </is>
      </c>
      <c r="B10" s="1" t="n">
        <v>43396</v>
      </c>
      <c r="C10" s="1" t="n">
        <v>45340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2.6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Granbarkgnagare
Grönpyrola
Lopplummer</t>
        </is>
      </c>
      <c r="S10">
        <f>HYPERLINK("https://klasma.github.io/Logging_0191/artfynd/A 55163-2018 artfynd.xlsx", "A 55163-2018")</f>
        <v/>
      </c>
      <c r="T10">
        <f>HYPERLINK("https://klasma.github.io/Logging_0191/kartor/A 55163-2018 karta.png", "A 55163-2018")</f>
        <v/>
      </c>
      <c r="V10">
        <f>HYPERLINK("https://klasma.github.io/Logging_0191/klagomål/A 55163-2018 FSC-klagomål.docx", "A 55163-2018")</f>
        <v/>
      </c>
      <c r="W10">
        <f>HYPERLINK("https://klasma.github.io/Logging_0191/klagomålsmail/A 55163-2018 FSC-klagomål mail.docx", "A 55163-2018")</f>
        <v/>
      </c>
      <c r="X10">
        <f>HYPERLINK("https://klasma.github.io/Logging_0191/tillsyn/A 55163-2018 tillsynsbegäran.docx", "A 55163-2018")</f>
        <v/>
      </c>
      <c r="Y10">
        <f>HYPERLINK("https://klasma.github.io/Logging_0191/tillsynsmail/A 55163-2018 tillsynsbegäran mail.docx", "A 55163-2018")</f>
        <v/>
      </c>
    </row>
    <row r="11" ht="15" customHeight="1">
      <c r="A11" t="inlineStr">
        <is>
          <t>A 11714-2021</t>
        </is>
      </c>
      <c r="B11" s="1" t="n">
        <v>44265</v>
      </c>
      <c r="C11" s="1" t="n">
        <v>45340</v>
      </c>
      <c r="D11" t="inlineStr">
        <is>
          <t>STOCKHOLMS LÄN</t>
        </is>
      </c>
      <c r="E11" t="inlineStr">
        <is>
          <t>SIGTUNA</t>
        </is>
      </c>
      <c r="F11" t="inlineStr">
        <is>
          <t>Sveaskog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Spretfibbla
Guldkremla
Snövit fingersvamp
Svavelriska</t>
        </is>
      </c>
      <c r="S11">
        <f>HYPERLINK("https://klasma.github.io/Logging_0191/artfynd/A 11714-2021 artfynd.xlsx", "A 11714-2021")</f>
        <v/>
      </c>
      <c r="T11">
        <f>HYPERLINK("https://klasma.github.io/Logging_0191/kartor/A 11714-2021 karta.png", "A 11714-2021")</f>
        <v/>
      </c>
      <c r="V11">
        <f>HYPERLINK("https://klasma.github.io/Logging_0191/klagomål/A 11714-2021 FSC-klagomål.docx", "A 11714-2021")</f>
        <v/>
      </c>
      <c r="W11">
        <f>HYPERLINK("https://klasma.github.io/Logging_0191/klagomålsmail/A 11714-2021 FSC-klagomål mail.docx", "A 11714-2021")</f>
        <v/>
      </c>
      <c r="X11">
        <f>HYPERLINK("https://klasma.github.io/Logging_0191/tillsyn/A 11714-2021 tillsynsbegäran.docx", "A 11714-2021")</f>
        <v/>
      </c>
      <c r="Y11">
        <f>HYPERLINK("https://klasma.github.io/Logging_0191/tillsynsmail/A 11714-2021 tillsynsbegäran mail.docx", "A 11714-2021")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45340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Vågbandad barkbock
Gröngöling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39620-2023</t>
        </is>
      </c>
      <c r="B13" s="1" t="n">
        <v>45163</v>
      </c>
      <c r="C13" s="1" t="n">
        <v>45340</v>
      </c>
      <c r="D13" t="inlineStr">
        <is>
          <t>STOCKHOLMS LÄN</t>
        </is>
      </c>
      <c r="E13" t="inlineStr">
        <is>
          <t>SIGTUNA</t>
        </is>
      </c>
      <c r="G13" t="n">
        <v>2</v>
      </c>
      <c r="H13" t="n">
        <v>4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Grönfink
Duvhök
Talltita
Gröngöling</t>
        </is>
      </c>
      <c r="S13">
        <f>HYPERLINK("https://klasma.github.io/Logging_0191/artfynd/A 39620-2023 artfynd.xlsx", "A 39620-2023")</f>
        <v/>
      </c>
      <c r="T13">
        <f>HYPERLINK("https://klasma.github.io/Logging_0191/kartor/A 39620-2023 karta.png", "A 39620-2023")</f>
        <v/>
      </c>
      <c r="V13">
        <f>HYPERLINK("https://klasma.github.io/Logging_0191/klagomål/A 39620-2023 FSC-klagomål.docx", "A 39620-2023")</f>
        <v/>
      </c>
      <c r="W13">
        <f>HYPERLINK("https://klasma.github.io/Logging_0191/klagomålsmail/A 39620-2023 FSC-klagomål mail.docx", "A 39620-2023")</f>
        <v/>
      </c>
      <c r="X13">
        <f>HYPERLINK("https://klasma.github.io/Logging_0191/tillsyn/A 39620-2023 tillsynsbegäran.docx", "A 39620-2023")</f>
        <v/>
      </c>
      <c r="Y13">
        <f>HYPERLINK("https://klasma.github.io/Logging_0191/tillsynsmail/A 39620-2023 tillsynsbegäran mail.docx", "A 39620-2023")</f>
        <v/>
      </c>
      <c r="Z13">
        <f>HYPERLINK("https://klasma.github.io/Logging_0191/fåglar/A 39620-2023 prioriterade fågelarter.docx", "A 39620-2023")</f>
        <v/>
      </c>
    </row>
    <row r="14" ht="15" customHeight="1">
      <c r="A14" t="inlineStr">
        <is>
          <t>A 64166-2018</t>
        </is>
      </c>
      <c r="B14" s="1" t="n">
        <v>43430</v>
      </c>
      <c r="C14" s="1" t="n">
        <v>45340</v>
      </c>
      <c r="D14" t="inlineStr">
        <is>
          <t>STOCKHOLMS LÄN</t>
        </is>
      </c>
      <c r="E14" t="inlineStr">
        <is>
          <t>SIGTUNA</t>
        </is>
      </c>
      <c r="G14" t="n">
        <v>4.9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Spillkråka
Större vattensalamander</t>
        </is>
      </c>
      <c r="S14">
        <f>HYPERLINK("https://klasma.github.io/Logging_0191/artfynd/A 64166-2018 artfynd.xlsx", "A 64166-2018")</f>
        <v/>
      </c>
      <c r="T14">
        <f>HYPERLINK("https://klasma.github.io/Logging_0191/kartor/A 64166-2018 karta.png", "A 64166-2018")</f>
        <v/>
      </c>
      <c r="V14">
        <f>HYPERLINK("https://klasma.github.io/Logging_0191/klagomål/A 64166-2018 FSC-klagomål.docx", "A 64166-2018")</f>
        <v/>
      </c>
      <c r="W14">
        <f>HYPERLINK("https://klasma.github.io/Logging_0191/klagomålsmail/A 64166-2018 FSC-klagomål mail.docx", "A 64166-2018")</f>
        <v/>
      </c>
      <c r="X14">
        <f>HYPERLINK("https://klasma.github.io/Logging_0191/tillsyn/A 64166-2018 tillsynsbegäran.docx", "A 64166-2018")</f>
        <v/>
      </c>
      <c r="Y14">
        <f>HYPERLINK("https://klasma.github.io/Logging_0191/tillsynsmail/A 64166-2018 tillsynsbegäran mail.docx", "A 64166-2018")</f>
        <v/>
      </c>
      <c r="Z14">
        <f>HYPERLINK("https://klasma.github.io/Logging_0191/fåglar/A 64166-2018 prioriterade fågelarter.docx", "A 64166-2018")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45340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45340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45340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Gulsparv
Kråka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</row>
    <row r="18" ht="15" customHeight="1">
      <c r="A18" t="inlineStr">
        <is>
          <t>A 38537-2023</t>
        </is>
      </c>
      <c r="B18" s="1" t="n">
        <v>45162</v>
      </c>
      <c r="C18" s="1" t="n">
        <v>45340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7.1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Grönsångare
Gulsparv
Svartvit flugsnappare</t>
        </is>
      </c>
      <c r="S18">
        <f>HYPERLINK("https://klasma.github.io/Logging_0191/artfynd/A 38537-2023 artfynd.xlsx", "A 38537-2023")</f>
        <v/>
      </c>
      <c r="T18">
        <f>HYPERLINK("https://klasma.github.io/Logging_0191/kartor/A 38537-2023 karta.png", "A 38537-2023")</f>
        <v/>
      </c>
      <c r="V18">
        <f>HYPERLINK("https://klasma.github.io/Logging_0191/klagomål/A 38537-2023 FSC-klagomål.docx", "A 38537-2023")</f>
        <v/>
      </c>
      <c r="W18">
        <f>HYPERLINK("https://klasma.github.io/Logging_0191/klagomålsmail/A 38537-2023 FSC-klagomål mail.docx", "A 38537-2023")</f>
        <v/>
      </c>
      <c r="X18">
        <f>HYPERLINK("https://klasma.github.io/Logging_0191/tillsyn/A 38537-2023 tillsynsbegäran.docx", "A 38537-2023")</f>
        <v/>
      </c>
      <c r="Y18">
        <f>HYPERLINK("https://klasma.github.io/Logging_0191/tillsynsmail/A 38537-2023 tillsynsbegäran mail.docx", "A 38537-2023")</f>
        <v/>
      </c>
    </row>
    <row r="19" ht="15" customHeight="1">
      <c r="A19" t="inlineStr">
        <is>
          <t>A 39613-2023</t>
        </is>
      </c>
      <c r="B19" s="1" t="n">
        <v>45163</v>
      </c>
      <c r="C19" s="1" t="n">
        <v>45340</v>
      </c>
      <c r="D19" t="inlineStr">
        <is>
          <t>STOCKHOLMS LÄN</t>
        </is>
      </c>
      <c r="E19" t="inlineStr">
        <is>
          <t>SIGTUNA</t>
        </is>
      </c>
      <c r="G19" t="n">
        <v>15.2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Vanlig padda
Revlummer</t>
        </is>
      </c>
      <c r="S19">
        <f>HYPERLINK("https://klasma.github.io/Logging_0191/artfynd/A 39613-2023 artfynd.xlsx", "A 39613-2023")</f>
        <v/>
      </c>
      <c r="T19">
        <f>HYPERLINK("https://klasma.github.io/Logging_0191/kartor/A 39613-2023 karta.png", "A 39613-2023")</f>
        <v/>
      </c>
      <c r="V19">
        <f>HYPERLINK("https://klasma.github.io/Logging_0191/klagomål/A 39613-2023 FSC-klagomål.docx", "A 39613-2023")</f>
        <v/>
      </c>
      <c r="W19">
        <f>HYPERLINK("https://klasma.github.io/Logging_0191/klagomålsmail/A 39613-2023 FSC-klagomål mail.docx", "A 39613-2023")</f>
        <v/>
      </c>
      <c r="X19">
        <f>HYPERLINK("https://klasma.github.io/Logging_0191/tillsyn/A 39613-2023 tillsynsbegäran.docx", "A 39613-2023")</f>
        <v/>
      </c>
      <c r="Y19">
        <f>HYPERLINK("https://klasma.github.io/Logging_0191/tillsynsmail/A 39613-2023 tillsynsbegäran mail.docx", "A 39613-2023")</f>
        <v/>
      </c>
      <c r="Z19">
        <f>HYPERLINK("https://klasma.github.io/Logging_0191/fåglar/A 39613-2023 prioriterade fågelarter.docx", "A 39613-2023")</f>
        <v/>
      </c>
    </row>
    <row r="20" ht="15" customHeight="1">
      <c r="A20" t="inlineStr">
        <is>
          <t>A 12586-2019</t>
        </is>
      </c>
      <c r="B20" s="1" t="n">
        <v>43524</v>
      </c>
      <c r="C20" s="1" t="n">
        <v>45340</v>
      </c>
      <c r="D20" t="inlineStr">
        <is>
          <t>STOCKHOLMS LÄN</t>
        </is>
      </c>
      <c r="E20" t="inlineStr">
        <is>
          <t>SIGTUNA</t>
        </is>
      </c>
      <c r="G20" t="n">
        <v>4.9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Fjällvråk
Mindre vattensalamander</t>
        </is>
      </c>
      <c r="S20">
        <f>HYPERLINK("https://klasma.github.io/Logging_0191/artfynd/A 12586-2019 artfynd.xlsx", "A 12586-2019")</f>
        <v/>
      </c>
      <c r="T20">
        <f>HYPERLINK("https://klasma.github.io/Logging_0191/kartor/A 12586-2019 karta.png", "A 12586-2019")</f>
        <v/>
      </c>
      <c r="V20">
        <f>HYPERLINK("https://klasma.github.io/Logging_0191/klagomål/A 12586-2019 FSC-klagomål.docx", "A 12586-2019")</f>
        <v/>
      </c>
      <c r="W20">
        <f>HYPERLINK("https://klasma.github.io/Logging_0191/klagomålsmail/A 12586-2019 FSC-klagomål mail.docx", "A 12586-2019")</f>
        <v/>
      </c>
      <c r="X20">
        <f>HYPERLINK("https://klasma.github.io/Logging_0191/tillsyn/A 12586-2019 tillsynsbegäran.docx", "A 12586-2019")</f>
        <v/>
      </c>
      <c r="Y20">
        <f>HYPERLINK("https://klasma.github.io/Logging_0191/tillsynsmail/A 12586-2019 tillsynsbegäran mail.docx", "A 12586-2019")</f>
        <v/>
      </c>
      <c r="Z20">
        <f>HYPERLINK("https://klasma.github.io/Logging_0191/fåglar/A 12586-2019 prioriterade fågelarter.docx", "A 12586-2019")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45340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Kråka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45340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45340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45340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45340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45340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45340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</row>
    <row r="28" ht="15" customHeight="1">
      <c r="A28" t="inlineStr">
        <is>
          <t>A 64357-2023</t>
        </is>
      </c>
      <c r="B28" s="1" t="n">
        <v>45280</v>
      </c>
      <c r="C28" s="1" t="n">
        <v>45340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HYPERLINK("https://klasma.github.io/Logging_0191/artfynd/A 64357-2023 artfynd.xlsx", "A 64357-2023")</f>
        <v/>
      </c>
      <c r="T28">
        <f>HYPERLINK("https://klasma.github.io/Logging_0191/kartor/A 64357-2023 karta.png", "A 64357-2023")</f>
        <v/>
      </c>
      <c r="V28">
        <f>HYPERLINK("https://klasma.github.io/Logging_0191/klagomål/A 64357-2023 FSC-klagomål.docx", "A 64357-2023")</f>
        <v/>
      </c>
      <c r="W28">
        <f>HYPERLINK("https://klasma.github.io/Logging_0191/klagomålsmail/A 64357-2023 FSC-klagomål mail.docx", "A 64357-2023")</f>
        <v/>
      </c>
      <c r="X28">
        <f>HYPERLINK("https://klasma.github.io/Logging_0191/tillsyn/A 64357-2023 tillsynsbegäran.docx", "A 64357-2023")</f>
        <v/>
      </c>
      <c r="Y28">
        <f>HYPERLINK("https://klasma.github.io/Logging_0191/tillsynsmail/A 64357-2023 tillsynsbegäran mail.docx", "A 64357-2023")</f>
        <v/>
      </c>
    </row>
    <row r="29" ht="15" customHeight="1">
      <c r="A29" t="inlineStr">
        <is>
          <t>A 58509-2018</t>
        </is>
      </c>
      <c r="B29" s="1" t="n">
        <v>43409</v>
      </c>
      <c r="C29" s="1" t="n">
        <v>45340</v>
      </c>
      <c r="D29" t="inlineStr">
        <is>
          <t>STOCKHOLMS LÄN</t>
        </is>
      </c>
      <c r="E29" t="inlineStr">
        <is>
          <t>SIGTUNA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58638-2018</t>
        </is>
      </c>
      <c r="B30" s="1" t="n">
        <v>43410</v>
      </c>
      <c r="C30" s="1" t="n">
        <v>45340</v>
      </c>
      <c r="D30" t="inlineStr">
        <is>
          <t>STOCKHOLMS LÄN</t>
        </is>
      </c>
      <c r="E30" t="inlineStr">
        <is>
          <t>SIGTUNA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69903-2018</t>
        </is>
      </c>
      <c r="B31" s="1" t="n">
        <v>43447</v>
      </c>
      <c r="C31" s="1" t="n">
        <v>45340</v>
      </c>
      <c r="D31" t="inlineStr">
        <is>
          <t>STOCKHOLMS LÄN</t>
        </is>
      </c>
      <c r="E31" t="inlineStr">
        <is>
          <t>SIGTUNA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3054-2019</t>
        </is>
      </c>
      <c r="B32" s="1" t="n">
        <v>43479</v>
      </c>
      <c r="C32" s="1" t="n">
        <v>45340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4800-2019</t>
        </is>
      </c>
      <c r="B33" s="1" t="n">
        <v>43486</v>
      </c>
      <c r="C33" s="1" t="n">
        <v>45340</v>
      </c>
      <c r="D33" t="inlineStr">
        <is>
          <t>STOCKHOLMS LÄN</t>
        </is>
      </c>
      <c r="E33" t="inlineStr">
        <is>
          <t>SIGTUNA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4584-2019</t>
        </is>
      </c>
      <c r="B34" s="1" t="n">
        <v>43486</v>
      </c>
      <c r="C34" s="1" t="n">
        <v>45340</v>
      </c>
      <c r="D34" t="inlineStr">
        <is>
          <t>STOCKHOLMS LÄN</t>
        </is>
      </c>
      <c r="E34" t="inlineStr">
        <is>
          <t>SIGTUNA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8501-2019</t>
        </is>
      </c>
      <c r="B35" s="1" t="n">
        <v>43500</v>
      </c>
      <c r="C35" s="1" t="n">
        <v>45340</v>
      </c>
      <c r="D35" t="inlineStr">
        <is>
          <t>STOCKHOLMS LÄN</t>
        </is>
      </c>
      <c r="E35" t="inlineStr">
        <is>
          <t>SIGTUNA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8469-2019</t>
        </is>
      </c>
      <c r="B36" s="1" t="n">
        <v>43502</v>
      </c>
      <c r="C36" s="1" t="n">
        <v>45340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12590-2019</t>
        </is>
      </c>
      <c r="B37" s="1" t="n">
        <v>43524</v>
      </c>
      <c r="C37" s="1" t="n">
        <v>45340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13143-2019</t>
        </is>
      </c>
      <c r="B38" s="1" t="n">
        <v>43527</v>
      </c>
      <c r="C38" s="1" t="n">
        <v>45340</v>
      </c>
      <c r="D38" t="inlineStr">
        <is>
          <t>STOCKHOLMS LÄN</t>
        </is>
      </c>
      <c r="E38" t="inlineStr">
        <is>
          <t>SIGTUNA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14823-2019</t>
        </is>
      </c>
      <c r="B39" s="1" t="n">
        <v>43539</v>
      </c>
      <c r="C39" s="1" t="n">
        <v>45340</v>
      </c>
      <c r="D39" t="inlineStr">
        <is>
          <t>STOCKHOLMS LÄN</t>
        </is>
      </c>
      <c r="E39" t="inlineStr">
        <is>
          <t>SIGTUNA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19563-2019</t>
        </is>
      </c>
      <c r="B40" s="1" t="n">
        <v>43566</v>
      </c>
      <c r="C40" s="1" t="n">
        <v>45340</v>
      </c>
      <c r="D40" t="inlineStr">
        <is>
          <t>STOCKHOLMS LÄN</t>
        </is>
      </c>
      <c r="E40" t="inlineStr">
        <is>
          <t>SIGTUNA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28330-2019</t>
        </is>
      </c>
      <c r="B41" s="1" t="n">
        <v>43623</v>
      </c>
      <c r="C41" s="1" t="n">
        <v>45340</v>
      </c>
      <c r="D41" t="inlineStr">
        <is>
          <t>STOCKHOLMS LÄN</t>
        </is>
      </c>
      <c r="E41" t="inlineStr">
        <is>
          <t>SIGTUNA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28560-2019</t>
        </is>
      </c>
      <c r="B42" s="1" t="n">
        <v>43626</v>
      </c>
      <c r="C42" s="1" t="n">
        <v>45340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28384-2019</t>
        </is>
      </c>
      <c r="B43" s="1" t="n">
        <v>43626</v>
      </c>
      <c r="C43" s="1" t="n">
        <v>45340</v>
      </c>
      <c r="D43" t="inlineStr">
        <is>
          <t>STOCKHOLMS LÄN</t>
        </is>
      </c>
      <c r="E43" t="inlineStr">
        <is>
          <t>SIGTUNA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32813-2019</t>
        </is>
      </c>
      <c r="B44" s="1" t="n">
        <v>43648</v>
      </c>
      <c r="C44" s="1" t="n">
        <v>45340</v>
      </c>
      <c r="D44" t="inlineStr">
        <is>
          <t>STOCKHOLMS LÄN</t>
        </is>
      </c>
      <c r="E44" t="inlineStr">
        <is>
          <t>SIGTUNA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49268-2019</t>
        </is>
      </c>
      <c r="B45" s="1" t="n">
        <v>43731</v>
      </c>
      <c r="C45" s="1" t="n">
        <v>45340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50737-2019</t>
        </is>
      </c>
      <c r="B46" s="1" t="n">
        <v>43738</v>
      </c>
      <c r="C46" s="1" t="n">
        <v>45340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50755-2019</t>
        </is>
      </c>
      <c r="B47" s="1" t="n">
        <v>43738</v>
      </c>
      <c r="C47" s="1" t="n">
        <v>45340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54875-2019</t>
        </is>
      </c>
      <c r="B48" s="1" t="n">
        <v>43755</v>
      </c>
      <c r="C48" s="1" t="n">
        <v>45340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57461-2019</t>
        </is>
      </c>
      <c r="B49" s="1" t="n">
        <v>43767</v>
      </c>
      <c r="C49" s="1" t="n">
        <v>45340</v>
      </c>
      <c r="D49" t="inlineStr">
        <is>
          <t>STOCKHOLMS LÄN</t>
        </is>
      </c>
      <c r="E49" t="inlineStr">
        <is>
          <t>SIGTUNA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64901-2019</t>
        </is>
      </c>
      <c r="B50" s="1" t="n">
        <v>43801</v>
      </c>
      <c r="C50" s="1" t="n">
        <v>45340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64898-2019</t>
        </is>
      </c>
      <c r="B51" s="1" t="n">
        <v>43801</v>
      </c>
      <c r="C51" s="1" t="n">
        <v>45340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68825-2019</t>
        </is>
      </c>
      <c r="B52" s="1" t="n">
        <v>43819</v>
      </c>
      <c r="C52" s="1" t="n">
        <v>45340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68826-2019</t>
        </is>
      </c>
      <c r="B53" s="1" t="n">
        <v>43819</v>
      </c>
      <c r="C53" s="1" t="n">
        <v>45340</v>
      </c>
      <c r="D53" t="inlineStr">
        <is>
          <t>STOCKHOLMS LÄN</t>
        </is>
      </c>
      <c r="E53" t="inlineStr">
        <is>
          <t>SIGTUNA</t>
        </is>
      </c>
      <c r="F53" t="inlineStr">
        <is>
          <t>Kyrkan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68829-2019</t>
        </is>
      </c>
      <c r="B54" s="1" t="n">
        <v>43819</v>
      </c>
      <c r="C54" s="1" t="n">
        <v>45340</v>
      </c>
      <c r="D54" t="inlineStr">
        <is>
          <t>STOCKHOLMS LÄN</t>
        </is>
      </c>
      <c r="E54" t="inlineStr">
        <is>
          <t>SIGTUNA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10244-2020</t>
        </is>
      </c>
      <c r="B55" s="1" t="n">
        <v>43885</v>
      </c>
      <c r="C55" s="1" t="n">
        <v>45340</v>
      </c>
      <c r="D55" t="inlineStr">
        <is>
          <t>STOCKHOLMS LÄN</t>
        </is>
      </c>
      <c r="E55" t="inlineStr">
        <is>
          <t>SIGTUNA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10738-2020</t>
        </is>
      </c>
      <c r="B56" s="1" t="n">
        <v>43888</v>
      </c>
      <c r="C56" s="1" t="n">
        <v>45340</v>
      </c>
      <c r="D56" t="inlineStr">
        <is>
          <t>STOCKHOLMS LÄN</t>
        </is>
      </c>
      <c r="E56" t="inlineStr">
        <is>
          <t>SIGTUNA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10744-2020</t>
        </is>
      </c>
      <c r="B57" s="1" t="n">
        <v>43888</v>
      </c>
      <c r="C57" s="1" t="n">
        <v>45340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14512-2020</t>
        </is>
      </c>
      <c r="B58" s="1" t="n">
        <v>43907</v>
      </c>
      <c r="C58" s="1" t="n">
        <v>45340</v>
      </c>
      <c r="D58" t="inlineStr">
        <is>
          <t>STOCKHOLMS LÄN</t>
        </is>
      </c>
      <c r="E58" t="inlineStr">
        <is>
          <t>SIGTUNA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23098-2020</t>
        </is>
      </c>
      <c r="B59" s="1" t="n">
        <v>43965</v>
      </c>
      <c r="C59" s="1" t="n">
        <v>45340</v>
      </c>
      <c r="D59" t="inlineStr">
        <is>
          <t>STOCKHOLMS LÄN</t>
        </is>
      </c>
      <c r="E59" t="inlineStr">
        <is>
          <t>SIGTUNA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25745-2020</t>
        </is>
      </c>
      <c r="B60" s="1" t="n">
        <v>43984</v>
      </c>
      <c r="C60" s="1" t="n">
        <v>45340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28663-2020</t>
        </is>
      </c>
      <c r="B61" s="1" t="n">
        <v>43999</v>
      </c>
      <c r="C61" s="1" t="n">
        <v>45340</v>
      </c>
      <c r="D61" t="inlineStr">
        <is>
          <t>STOCKHOLMS LÄN</t>
        </is>
      </c>
      <c r="E61" t="inlineStr">
        <is>
          <t>SIGTUNA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28923-2020</t>
        </is>
      </c>
      <c r="B62" s="1" t="n">
        <v>44000</v>
      </c>
      <c r="C62" s="1" t="n">
        <v>45340</v>
      </c>
      <c r="D62" t="inlineStr">
        <is>
          <t>STOCKHOLMS LÄN</t>
        </is>
      </c>
      <c r="E62" t="inlineStr">
        <is>
          <t>SIGTUNA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42714-2020</t>
        </is>
      </c>
      <c r="B63" s="1" t="n">
        <v>44077</v>
      </c>
      <c r="C63" s="1" t="n">
        <v>45340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50585-2020</t>
        </is>
      </c>
      <c r="B64" s="1" t="n">
        <v>44110</v>
      </c>
      <c r="C64" s="1" t="n">
        <v>45340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64372-2020</t>
        </is>
      </c>
      <c r="B65" s="1" t="n">
        <v>44168</v>
      </c>
      <c r="C65" s="1" t="n">
        <v>45340</v>
      </c>
      <c r="D65" t="inlineStr">
        <is>
          <t>STOCKHOLMS LÄN</t>
        </is>
      </c>
      <c r="E65" t="inlineStr">
        <is>
          <t>SIGTUNA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64981-2020</t>
        </is>
      </c>
      <c r="B66" s="1" t="n">
        <v>44172</v>
      </c>
      <c r="C66" s="1" t="n">
        <v>45340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6430-2021</t>
        </is>
      </c>
      <c r="B67" s="1" t="n">
        <v>44235</v>
      </c>
      <c r="C67" s="1" t="n">
        <v>45340</v>
      </c>
      <c r="D67" t="inlineStr">
        <is>
          <t>STOCKHOLMS LÄN</t>
        </is>
      </c>
      <c r="E67" t="inlineStr">
        <is>
          <t>SIGTUNA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11197-2021</t>
        </is>
      </c>
      <c r="B68" s="1" t="n">
        <v>44263</v>
      </c>
      <c r="C68" s="1" t="n">
        <v>45340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11195-2021</t>
        </is>
      </c>
      <c r="B69" s="1" t="n">
        <v>44263</v>
      </c>
      <c r="C69" s="1" t="n">
        <v>45340</v>
      </c>
      <c r="D69" t="inlineStr">
        <is>
          <t>STOCKHOLMS LÄN</t>
        </is>
      </c>
      <c r="E69" t="inlineStr">
        <is>
          <t>SIGTUNA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11477-2021</t>
        </is>
      </c>
      <c r="B70" s="1" t="n">
        <v>44264</v>
      </c>
      <c r="C70" s="1" t="n">
        <v>45340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11459-2021</t>
        </is>
      </c>
      <c r="B71" s="1" t="n">
        <v>44264</v>
      </c>
      <c r="C71" s="1" t="n">
        <v>45340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11713-2021</t>
        </is>
      </c>
      <c r="B72" s="1" t="n">
        <v>44265</v>
      </c>
      <c r="C72" s="1" t="n">
        <v>45340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45340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15428-2021</t>
        </is>
      </c>
      <c r="B74" s="1" t="n">
        <v>44285</v>
      </c>
      <c r="C74" s="1" t="n">
        <v>45340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35953-2021</t>
        </is>
      </c>
      <c r="B75" s="1" t="n">
        <v>44385</v>
      </c>
      <c r="C75" s="1" t="n">
        <v>45340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53090-2021</t>
        </is>
      </c>
      <c r="B76" s="1" t="n">
        <v>44467</v>
      </c>
      <c r="C76" s="1" t="n">
        <v>45340</v>
      </c>
      <c r="D76" t="inlineStr">
        <is>
          <t>STOCKHOLMS LÄN</t>
        </is>
      </c>
      <c r="E76" t="inlineStr">
        <is>
          <t>SIGTUNA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53462-2021</t>
        </is>
      </c>
      <c r="B77" s="1" t="n">
        <v>44468</v>
      </c>
      <c r="C77" s="1" t="n">
        <v>45340</v>
      </c>
      <c r="D77" t="inlineStr">
        <is>
          <t>STOCKHOLMS LÄN</t>
        </is>
      </c>
      <c r="E77" t="inlineStr">
        <is>
          <t>SIGTUNA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55112-2021</t>
        </is>
      </c>
      <c r="B78" s="1" t="n">
        <v>44474</v>
      </c>
      <c r="C78" s="1" t="n">
        <v>45340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56724-2021</t>
        </is>
      </c>
      <c r="B79" s="1" t="n">
        <v>44480</v>
      </c>
      <c r="C79" s="1" t="n">
        <v>45340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45340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61919-2021</t>
        </is>
      </c>
      <c r="B81" s="1" t="n">
        <v>44502</v>
      </c>
      <c r="C81" s="1" t="n">
        <v>45340</v>
      </c>
      <c r="D81" t="inlineStr">
        <is>
          <t>STOCKHOLMS LÄN</t>
        </is>
      </c>
      <c r="E81" t="inlineStr">
        <is>
          <t>SIGTUNA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65340-2021</t>
        </is>
      </c>
      <c r="B82" s="1" t="n">
        <v>44515</v>
      </c>
      <c r="C82" s="1" t="n">
        <v>45340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72530-2021</t>
        </is>
      </c>
      <c r="B83" s="1" t="n">
        <v>44546</v>
      </c>
      <c r="C83" s="1" t="n">
        <v>45340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74170-2021</t>
        </is>
      </c>
      <c r="B84" s="1" t="n">
        <v>44557</v>
      </c>
      <c r="C84" s="1" t="n">
        <v>45340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74167-2021</t>
        </is>
      </c>
      <c r="B85" s="1" t="n">
        <v>44557</v>
      </c>
      <c r="C85" s="1" t="n">
        <v>45340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862-2022</t>
        </is>
      </c>
      <c r="B86" s="1" t="n">
        <v>44571</v>
      </c>
      <c r="C86" s="1" t="n">
        <v>45340</v>
      </c>
      <c r="D86" t="inlineStr">
        <is>
          <t>STOCKHOLMS LÄN</t>
        </is>
      </c>
      <c r="E86" t="inlineStr">
        <is>
          <t>SIGTUNA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</v>
      </c>
      <c r="C87" s="1" t="n">
        <v>45340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7280-2022</t>
        </is>
      </c>
      <c r="B88" s="1" t="n">
        <v>44606</v>
      </c>
      <c r="C88" s="1" t="n">
        <v>45340</v>
      </c>
      <c r="D88" t="inlineStr">
        <is>
          <t>STOCKHOLMS LÄN</t>
        </is>
      </c>
      <c r="E88" t="inlineStr">
        <is>
          <t>SIGTUNA</t>
        </is>
      </c>
      <c r="F88" t="inlineStr">
        <is>
          <t>Övriga statliga verk och myndigheter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9750-2022</t>
        </is>
      </c>
      <c r="B89" s="1" t="n">
        <v>44618</v>
      </c>
      <c r="C89" s="1" t="n">
        <v>45340</v>
      </c>
      <c r="D89" t="inlineStr">
        <is>
          <t>STOCKHOLMS LÄN</t>
        </is>
      </c>
      <c r="E89" t="inlineStr">
        <is>
          <t>SIGTUNA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9767-2022</t>
        </is>
      </c>
      <c r="B90" s="1" t="n">
        <v>44619</v>
      </c>
      <c r="C90" s="1" t="n">
        <v>45340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12900-2022</t>
        </is>
      </c>
      <c r="B91" s="1" t="n">
        <v>44642</v>
      </c>
      <c r="C91" s="1" t="n">
        <v>45340</v>
      </c>
      <c r="D91" t="inlineStr">
        <is>
          <t>STOCKHOLMS LÄN</t>
        </is>
      </c>
      <c r="E91" t="inlineStr">
        <is>
          <t>SIGTUNA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HYPERLINK("https://klasma.github.io/Logging_0191/knärot/A 12900-2022 karta knärot.png", "A 12900-2022")</f>
        <v/>
      </c>
      <c r="V91">
        <f>HYPERLINK("https://klasma.github.io/Logging_0191/klagomål/A 12900-2022 FSC-klagomål.docx", "A 12900-2022")</f>
        <v/>
      </c>
      <c r="W91">
        <f>HYPERLINK("https://klasma.github.io/Logging_0191/klagomålsmail/A 12900-2022 FSC-klagomål mail.docx", "A 12900-2022")</f>
        <v/>
      </c>
      <c r="X91">
        <f>HYPERLINK("https://klasma.github.io/Logging_0191/tillsyn/A 12900-2022 tillsynsbegäran.docx", "A 12900-2022")</f>
        <v/>
      </c>
      <c r="Y91">
        <f>HYPERLINK("https://klasma.github.io/Logging_0191/tillsynsmail/A 12900-2022 tillsynsbegäran mail.docx", "A 12900-2022")</f>
        <v/>
      </c>
    </row>
    <row r="92" ht="15" customHeight="1">
      <c r="A92" t="inlineStr">
        <is>
          <t>A 12931-2022</t>
        </is>
      </c>
      <c r="B92" s="1" t="n">
        <v>44642</v>
      </c>
      <c r="C92" s="1" t="n">
        <v>45340</v>
      </c>
      <c r="D92" t="inlineStr">
        <is>
          <t>STOCKHOLMS LÄN</t>
        </is>
      </c>
      <c r="E92" t="inlineStr">
        <is>
          <t>SIGTUNA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17286-2022</t>
        </is>
      </c>
      <c r="B93" s="1" t="n">
        <v>44678</v>
      </c>
      <c r="C93" s="1" t="n">
        <v>45340</v>
      </c>
      <c r="D93" t="inlineStr">
        <is>
          <t>STOCKHOLMS LÄN</t>
        </is>
      </c>
      <c r="E93" t="inlineStr">
        <is>
          <t>SIGTUNA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19995-2022</t>
        </is>
      </c>
      <c r="B94" s="1" t="n">
        <v>44697</v>
      </c>
      <c r="C94" s="1" t="n">
        <v>45340</v>
      </c>
      <c r="D94" t="inlineStr">
        <is>
          <t>STOCKHOLMS LÄN</t>
        </is>
      </c>
      <c r="E94" t="inlineStr">
        <is>
          <t>SIGTUNA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28851-2022</t>
        </is>
      </c>
      <c r="B95" s="1" t="n">
        <v>44749</v>
      </c>
      <c r="C95" s="1" t="n">
        <v>45340</v>
      </c>
      <c r="D95" t="inlineStr">
        <is>
          <t>STOCKHOLMS LÄN</t>
        </is>
      </c>
      <c r="E95" t="inlineStr">
        <is>
          <t>SIGTUNA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28861-2022</t>
        </is>
      </c>
      <c r="B96" s="1" t="n">
        <v>44749</v>
      </c>
      <c r="C96" s="1" t="n">
        <v>45340</v>
      </c>
      <c r="D96" t="inlineStr">
        <is>
          <t>STOCKHOLMS LÄN</t>
        </is>
      </c>
      <c r="E96" t="inlineStr">
        <is>
          <t>SIGTUNA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28843-2022</t>
        </is>
      </c>
      <c r="B97" s="1" t="n">
        <v>44749</v>
      </c>
      <c r="C97" s="1" t="n">
        <v>45340</v>
      </c>
      <c r="D97" t="inlineStr">
        <is>
          <t>STOCKHOLMS LÄN</t>
        </is>
      </c>
      <c r="E97" t="inlineStr">
        <is>
          <t>SIGTUNA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29646-2022</t>
        </is>
      </c>
      <c r="B98" s="1" t="n">
        <v>44754</v>
      </c>
      <c r="C98" s="1" t="n">
        <v>45340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45340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31684-2022</t>
        </is>
      </c>
      <c r="B100" s="1" t="n">
        <v>44776</v>
      </c>
      <c r="C100" s="1" t="n">
        <v>45340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31697-2022</t>
        </is>
      </c>
      <c r="B101" s="1" t="n">
        <v>44776</v>
      </c>
      <c r="C101" s="1" t="n">
        <v>45340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45340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36179-2022</t>
        </is>
      </c>
      <c r="B103" s="1" t="n">
        <v>44803</v>
      </c>
      <c r="C103" s="1" t="n">
        <v>45340</v>
      </c>
      <c r="D103" t="inlineStr">
        <is>
          <t>STOCKHOLMS LÄN</t>
        </is>
      </c>
      <c r="E103" t="inlineStr">
        <is>
          <t>SIGTUNA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37444-2022</t>
        </is>
      </c>
      <c r="B104" s="1" t="n">
        <v>44809</v>
      </c>
      <c r="C104" s="1" t="n">
        <v>45340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37442-2022</t>
        </is>
      </c>
      <c r="B105" s="1" t="n">
        <v>44809</v>
      </c>
      <c r="C105" s="1" t="n">
        <v>45340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41693-2022</t>
        </is>
      </c>
      <c r="B106" s="1" t="n">
        <v>44827</v>
      </c>
      <c r="C106" s="1" t="n">
        <v>45340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42162-2022</t>
        </is>
      </c>
      <c r="B107" s="1" t="n">
        <v>44830</v>
      </c>
      <c r="C107" s="1" t="n">
        <v>45340</v>
      </c>
      <c r="D107" t="inlineStr">
        <is>
          <t>STOCKHOLMS LÄN</t>
        </is>
      </c>
      <c r="E107" t="inlineStr">
        <is>
          <t>SIGTUNA</t>
        </is>
      </c>
      <c r="F107" t="inlineStr">
        <is>
          <t>Övriga statliga verk och myndigheter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56801-2022</t>
        </is>
      </c>
      <c r="B108" s="1" t="n">
        <v>44894</v>
      </c>
      <c r="C108" s="1" t="n">
        <v>45340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56796-2022</t>
        </is>
      </c>
      <c r="B109" s="1" t="n">
        <v>44894</v>
      </c>
      <c r="C109" s="1" t="n">
        <v>45340</v>
      </c>
      <c r="D109" t="inlineStr">
        <is>
          <t>STOCKHOLMS LÄN</t>
        </is>
      </c>
      <c r="E109" t="inlineStr">
        <is>
          <t>SIGTUNA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59165-2022</t>
        </is>
      </c>
      <c r="B110" s="1" t="n">
        <v>44904</v>
      </c>
      <c r="C110" s="1" t="n">
        <v>45340</v>
      </c>
      <c r="D110" t="inlineStr">
        <is>
          <t>STOCKHOLMS LÄN</t>
        </is>
      </c>
      <c r="E110" t="inlineStr">
        <is>
          <t>SIGTUNA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59168-2022</t>
        </is>
      </c>
      <c r="B111" s="1" t="n">
        <v>44904</v>
      </c>
      <c r="C111" s="1" t="n">
        <v>45340</v>
      </c>
      <c r="D111" t="inlineStr">
        <is>
          <t>STOCKHOLMS LÄN</t>
        </is>
      </c>
      <c r="E111" t="inlineStr">
        <is>
          <t>SIGTUNA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9250-2023</t>
        </is>
      </c>
      <c r="B112" s="1" t="n">
        <v>44980</v>
      </c>
      <c r="C112" s="1" t="n">
        <v>45340</v>
      </c>
      <c r="D112" t="inlineStr">
        <is>
          <t>STOCKHOLMS LÄN</t>
        </is>
      </c>
      <c r="E112" t="inlineStr">
        <is>
          <t>SIGTUNA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10790-2023</t>
        </is>
      </c>
      <c r="B113" s="1" t="n">
        <v>44989</v>
      </c>
      <c r="C113" s="1" t="n">
        <v>45340</v>
      </c>
      <c r="D113" t="inlineStr">
        <is>
          <t>STOCKHOLMS LÄN</t>
        </is>
      </c>
      <c r="E113" t="inlineStr">
        <is>
          <t>SIGTUNA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11285-2023</t>
        </is>
      </c>
      <c r="B114" s="1" t="n">
        <v>44992</v>
      </c>
      <c r="C114" s="1" t="n">
        <v>45340</v>
      </c>
      <c r="D114" t="inlineStr">
        <is>
          <t>STOCKHOLMS LÄN</t>
        </is>
      </c>
      <c r="E114" t="inlineStr">
        <is>
          <t>SIGTUNA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17318-2023</t>
        </is>
      </c>
      <c r="B115" s="1" t="n">
        <v>45035</v>
      </c>
      <c r="C115" s="1" t="n">
        <v>45340</v>
      </c>
      <c r="D115" t="inlineStr">
        <is>
          <t>STOCKHOLMS LÄN</t>
        </is>
      </c>
      <c r="E115" t="inlineStr">
        <is>
          <t>SIGTUNA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</v>
      </c>
      <c r="C116" s="1" t="n">
        <v>45340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20375-2023</t>
        </is>
      </c>
      <c r="B117" s="1" t="n">
        <v>45054</v>
      </c>
      <c r="C117" s="1" t="n">
        <v>45340</v>
      </c>
      <c r="D117" t="inlineStr">
        <is>
          <t>STOCKHOLMS LÄN</t>
        </is>
      </c>
      <c r="E117" t="inlineStr">
        <is>
          <t>SIGTUNA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20363-2023</t>
        </is>
      </c>
      <c r="B118" s="1" t="n">
        <v>45054</v>
      </c>
      <c r="C118" s="1" t="n">
        <v>45340</v>
      </c>
      <c r="D118" t="inlineStr">
        <is>
          <t>STOCKHOLMS LÄN</t>
        </is>
      </c>
      <c r="E118" t="inlineStr">
        <is>
          <t>SIGTUNA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20960-2023</t>
        </is>
      </c>
      <c r="B119" s="1" t="n">
        <v>45061</v>
      </c>
      <c r="C119" s="1" t="n">
        <v>45340</v>
      </c>
      <c r="D119" t="inlineStr">
        <is>
          <t>STOCKHOLMS LÄN</t>
        </is>
      </c>
      <c r="E119" t="inlineStr">
        <is>
          <t>SIGTUNA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20957-2023</t>
        </is>
      </c>
      <c r="B120" s="1" t="n">
        <v>45061</v>
      </c>
      <c r="C120" s="1" t="n">
        <v>45340</v>
      </c>
      <c r="D120" t="inlineStr">
        <is>
          <t>STOCKHOLMS LÄN</t>
        </is>
      </c>
      <c r="E120" t="inlineStr">
        <is>
          <t>SIGTUNA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25531-2023</t>
        </is>
      </c>
      <c r="B121" s="1" t="n">
        <v>45082</v>
      </c>
      <c r="C121" s="1" t="n">
        <v>45340</v>
      </c>
      <c r="D121" t="inlineStr">
        <is>
          <t>STOCKHOLMS LÄN</t>
        </is>
      </c>
      <c r="E121" t="inlineStr">
        <is>
          <t>SIGTUNA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24636-2023</t>
        </is>
      </c>
      <c r="B122" s="1" t="n">
        <v>45084</v>
      </c>
      <c r="C122" s="1" t="n">
        <v>45340</v>
      </c>
      <c r="D122" t="inlineStr">
        <is>
          <t>STOCKHOLMS LÄN</t>
        </is>
      </c>
      <c r="E122" t="inlineStr">
        <is>
          <t>SIGTUNA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25459-2023</t>
        </is>
      </c>
      <c r="B123" s="1" t="n">
        <v>45089</v>
      </c>
      <c r="C123" s="1" t="n">
        <v>45340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25464-2023</t>
        </is>
      </c>
      <c r="B124" s="1" t="n">
        <v>45089</v>
      </c>
      <c r="C124" s="1" t="n">
        <v>45340</v>
      </c>
      <c r="D124" t="inlineStr">
        <is>
          <t>STOCKHOLMS LÄN</t>
        </is>
      </c>
      <c r="E124" t="inlineStr">
        <is>
          <t>SIGTUNA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25452-2023</t>
        </is>
      </c>
      <c r="B125" s="1" t="n">
        <v>45089</v>
      </c>
      <c r="C125" s="1" t="n">
        <v>45340</v>
      </c>
      <c r="D125" t="inlineStr">
        <is>
          <t>STOCKHOLMS LÄN</t>
        </is>
      </c>
      <c r="E125" t="inlineStr">
        <is>
          <t>SIGTUNA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25468-2023</t>
        </is>
      </c>
      <c r="B126" s="1" t="n">
        <v>45089</v>
      </c>
      <c r="C126" s="1" t="n">
        <v>45340</v>
      </c>
      <c r="D126" t="inlineStr">
        <is>
          <t>STOCKHOLMS LÄN</t>
        </is>
      </c>
      <c r="E126" t="inlineStr">
        <is>
          <t>SIGTUNA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32420-2023</t>
        </is>
      </c>
      <c r="B127" s="1" t="n">
        <v>45110</v>
      </c>
      <c r="C127" s="1" t="n">
        <v>45340</v>
      </c>
      <c r="D127" t="inlineStr">
        <is>
          <t>STOCKHOLMS LÄN</t>
        </is>
      </c>
      <c r="E127" t="inlineStr">
        <is>
          <t>SIGTUNA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32424-2023</t>
        </is>
      </c>
      <c r="B128" s="1" t="n">
        <v>45110</v>
      </c>
      <c r="C128" s="1" t="n">
        <v>45340</v>
      </c>
      <c r="D128" t="inlineStr">
        <is>
          <t>STOCKHOLMS LÄN</t>
        </is>
      </c>
      <c r="E128" t="inlineStr">
        <is>
          <t>SIGTUNA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32426-2023</t>
        </is>
      </c>
      <c r="B129" s="1" t="n">
        <v>45110</v>
      </c>
      <c r="C129" s="1" t="n">
        <v>45340</v>
      </c>
      <c r="D129" t="inlineStr">
        <is>
          <t>STOCKHOLMS LÄN</t>
        </is>
      </c>
      <c r="E129" t="inlineStr">
        <is>
          <t>SIGTUNA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30571-2023</t>
        </is>
      </c>
      <c r="B130" s="1" t="n">
        <v>45111</v>
      </c>
      <c r="C130" s="1" t="n">
        <v>45340</v>
      </c>
      <c r="D130" t="inlineStr">
        <is>
          <t>STOCKHOLMS LÄN</t>
        </is>
      </c>
      <c r="E130" t="inlineStr">
        <is>
          <t>SIGTUNA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31042-2023</t>
        </is>
      </c>
      <c r="B131" s="1" t="n">
        <v>45113</v>
      </c>
      <c r="C131" s="1" t="n">
        <v>45340</v>
      </c>
      <c r="D131" t="inlineStr">
        <is>
          <t>STOCKHOLMS LÄN</t>
        </is>
      </c>
      <c r="E131" t="inlineStr">
        <is>
          <t>SIGTUNA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38276-2023</t>
        </is>
      </c>
      <c r="B132" s="1" t="n">
        <v>45160</v>
      </c>
      <c r="C132" s="1" t="n">
        <v>45340</v>
      </c>
      <c r="D132" t="inlineStr">
        <is>
          <t>STOCKHOLMS LÄN</t>
        </is>
      </c>
      <c r="E132" t="inlineStr">
        <is>
          <t>SIGTUNA</t>
        </is>
      </c>
      <c r="G132" t="n">
        <v>18.1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38465-2023</t>
        </is>
      </c>
      <c r="B133" s="1" t="n">
        <v>45162</v>
      </c>
      <c r="C133" s="1" t="n">
        <v>45340</v>
      </c>
      <c r="D133" t="inlineStr">
        <is>
          <t>STOCKHOLMS LÄN</t>
        </is>
      </c>
      <c r="E133" t="inlineStr">
        <is>
          <t>SIGTUNA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40338-2023</t>
        </is>
      </c>
      <c r="B134" s="1" t="n">
        <v>45169</v>
      </c>
      <c r="C134" s="1" t="n">
        <v>45340</v>
      </c>
      <c r="D134" t="inlineStr">
        <is>
          <t>STOCKHOLMS LÄN</t>
        </is>
      </c>
      <c r="E134" t="inlineStr">
        <is>
          <t>SIGTUNA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41702-2023</t>
        </is>
      </c>
      <c r="B135" s="1" t="n">
        <v>45176</v>
      </c>
      <c r="C135" s="1" t="n">
        <v>45340</v>
      </c>
      <c r="D135" t="inlineStr">
        <is>
          <t>STOCKHOLMS LÄN</t>
        </is>
      </c>
      <c r="E135" t="inlineStr">
        <is>
          <t>SIGTUNA</t>
        </is>
      </c>
      <c r="F135" t="inlineStr">
        <is>
          <t>Allmännings- och besparingsskogar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41723-2023</t>
        </is>
      </c>
      <c r="B136" s="1" t="n">
        <v>45176</v>
      </c>
      <c r="C136" s="1" t="n">
        <v>45340</v>
      </c>
      <c r="D136" t="inlineStr">
        <is>
          <t>STOCKHOLMS LÄN</t>
        </is>
      </c>
      <c r="E136" t="inlineStr">
        <is>
          <t>SIGTUNA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41952-2023</t>
        </is>
      </c>
      <c r="B137" s="1" t="n">
        <v>45177</v>
      </c>
      <c r="C137" s="1" t="n">
        <v>45340</v>
      </c>
      <c r="D137" t="inlineStr">
        <is>
          <t>STOCKHOLMS LÄN</t>
        </is>
      </c>
      <c r="E137" t="inlineStr">
        <is>
          <t>SIGTUNA</t>
        </is>
      </c>
      <c r="F137" t="inlineStr">
        <is>
          <t>Allmännings- och besparingsskogar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43593-2023</t>
        </is>
      </c>
      <c r="B138" s="1" t="n">
        <v>45184</v>
      </c>
      <c r="C138" s="1" t="n">
        <v>45340</v>
      </c>
      <c r="D138" t="inlineStr">
        <is>
          <t>STOCKHOLMS LÄN</t>
        </is>
      </c>
      <c r="E138" t="inlineStr">
        <is>
          <t>SIGTUNA</t>
        </is>
      </c>
      <c r="F138" t="inlineStr">
        <is>
          <t>Allmännings- och besparingsskogar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43700-2023</t>
        </is>
      </c>
      <c r="B139" s="1" t="n">
        <v>45187</v>
      </c>
      <c r="C139" s="1" t="n">
        <v>45340</v>
      </c>
      <c r="D139" t="inlineStr">
        <is>
          <t>STOCKHOLMS LÄN</t>
        </is>
      </c>
      <c r="E139" t="inlineStr">
        <is>
          <t>SIGTUNA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45319-2023</t>
        </is>
      </c>
      <c r="B140" s="1" t="n">
        <v>45191</v>
      </c>
      <c r="C140" s="1" t="n">
        <v>45340</v>
      </c>
      <c r="D140" t="inlineStr">
        <is>
          <t>STOCKHOLMS LÄN</t>
        </is>
      </c>
      <c r="E140" t="inlineStr">
        <is>
          <t>SIGTUNA</t>
        </is>
      </c>
      <c r="F140" t="inlineStr">
        <is>
          <t>Allmännings- och besparingsskogar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46757-2023</t>
        </is>
      </c>
      <c r="B141" s="1" t="n">
        <v>45198</v>
      </c>
      <c r="C141" s="1" t="n">
        <v>45340</v>
      </c>
      <c r="D141" t="inlineStr">
        <is>
          <t>STOCKHOLMS LÄN</t>
        </is>
      </c>
      <c r="E141" t="inlineStr">
        <is>
          <t>SIGTUNA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47204-2023</t>
        </is>
      </c>
      <c r="B142" s="1" t="n">
        <v>45202</v>
      </c>
      <c r="C142" s="1" t="n">
        <v>45340</v>
      </c>
      <c r="D142" t="inlineStr">
        <is>
          <t>STOCKHOLMS LÄN</t>
        </is>
      </c>
      <c r="E142" t="inlineStr">
        <is>
          <t>SIGTUNA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49589-2023</t>
        </is>
      </c>
      <c r="B143" s="1" t="n">
        <v>45211</v>
      </c>
      <c r="C143" s="1" t="n">
        <v>45340</v>
      </c>
      <c r="D143" t="inlineStr">
        <is>
          <t>STOCKHOLMS LÄN</t>
        </is>
      </c>
      <c r="E143" t="inlineStr">
        <is>
          <t>SIGTUNA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49591-2023</t>
        </is>
      </c>
      <c r="B144" s="1" t="n">
        <v>45211</v>
      </c>
      <c r="C144" s="1" t="n">
        <v>45340</v>
      </c>
      <c r="D144" t="inlineStr">
        <is>
          <t>STOCKHOLMS LÄN</t>
        </is>
      </c>
      <c r="E144" t="inlineStr">
        <is>
          <t>SIGTUNA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49592-2023</t>
        </is>
      </c>
      <c r="B145" s="1" t="n">
        <v>45211</v>
      </c>
      <c r="C145" s="1" t="n">
        <v>45340</v>
      </c>
      <c r="D145" t="inlineStr">
        <is>
          <t>STOCKHOLMS LÄN</t>
        </is>
      </c>
      <c r="E145" t="inlineStr">
        <is>
          <t>SIGTUNA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51770-2023</t>
        </is>
      </c>
      <c r="B146" s="1" t="n">
        <v>45222</v>
      </c>
      <c r="C146" s="1" t="n">
        <v>45340</v>
      </c>
      <c r="D146" t="inlineStr">
        <is>
          <t>STOCKHOLMS LÄN</t>
        </is>
      </c>
      <c r="E146" t="inlineStr">
        <is>
          <t>SIGTUNA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58675-2023</t>
        </is>
      </c>
      <c r="B147" s="1" t="n">
        <v>45247</v>
      </c>
      <c r="C147" s="1" t="n">
        <v>45340</v>
      </c>
      <c r="D147" t="inlineStr">
        <is>
          <t>STOCKHOLMS LÄN</t>
        </is>
      </c>
      <c r="E147" t="inlineStr">
        <is>
          <t>SIGTUNA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58649-2023</t>
        </is>
      </c>
      <c r="B148" s="1" t="n">
        <v>45251</v>
      </c>
      <c r="C148" s="1" t="n">
        <v>45340</v>
      </c>
      <c r="D148" t="inlineStr">
        <is>
          <t>STOCKHOLMS LÄN</t>
        </is>
      </c>
      <c r="E148" t="inlineStr">
        <is>
          <t>SIGTUNA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58620-2023</t>
        </is>
      </c>
      <c r="B149" s="1" t="n">
        <v>45251</v>
      </c>
      <c r="C149" s="1" t="n">
        <v>45340</v>
      </c>
      <c r="D149" t="inlineStr">
        <is>
          <t>STOCKHOLMS LÄN</t>
        </is>
      </c>
      <c r="E149" t="inlineStr">
        <is>
          <t>SIGTUNA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58619-2023</t>
        </is>
      </c>
      <c r="B150" s="1" t="n">
        <v>45251</v>
      </c>
      <c r="C150" s="1" t="n">
        <v>45340</v>
      </c>
      <c r="D150" t="inlineStr">
        <is>
          <t>STOCKHOLMS LÄN</t>
        </is>
      </c>
      <c r="E150" t="inlineStr">
        <is>
          <t>SIGTUNA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58647-2023</t>
        </is>
      </c>
      <c r="B151" s="1" t="n">
        <v>45251</v>
      </c>
      <c r="C151" s="1" t="n">
        <v>45340</v>
      </c>
      <c r="D151" t="inlineStr">
        <is>
          <t>STOCKHOLMS LÄN</t>
        </is>
      </c>
      <c r="E151" t="inlineStr">
        <is>
          <t>SIGTUNA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59958-2023</t>
        </is>
      </c>
      <c r="B152" s="1" t="n">
        <v>45257</v>
      </c>
      <c r="C152" s="1" t="n">
        <v>45340</v>
      </c>
      <c r="D152" t="inlineStr">
        <is>
          <t>STOCKHOLMS LÄN</t>
        </is>
      </c>
      <c r="E152" t="inlineStr">
        <is>
          <t>SIGTUNA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59948-2023</t>
        </is>
      </c>
      <c r="B153" s="1" t="n">
        <v>45257</v>
      </c>
      <c r="C153" s="1" t="n">
        <v>45340</v>
      </c>
      <c r="D153" t="inlineStr">
        <is>
          <t>STOCKHOLMS LÄN</t>
        </is>
      </c>
      <c r="E153" t="inlineStr">
        <is>
          <t>SIGTUNA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59957-2023</t>
        </is>
      </c>
      <c r="B154" s="1" t="n">
        <v>45257</v>
      </c>
      <c r="C154" s="1" t="n">
        <v>45340</v>
      </c>
      <c r="D154" t="inlineStr">
        <is>
          <t>STOCKHOLMS LÄN</t>
        </is>
      </c>
      <c r="E154" t="inlineStr">
        <is>
          <t>SIGTUNA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59946-2023</t>
        </is>
      </c>
      <c r="B155" s="1" t="n">
        <v>45257</v>
      </c>
      <c r="C155" s="1" t="n">
        <v>45340</v>
      </c>
      <c r="D155" t="inlineStr">
        <is>
          <t>STOCKHOLMS LÄN</t>
        </is>
      </c>
      <c r="E155" t="inlineStr">
        <is>
          <t>SIGTUNA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60159-2023</t>
        </is>
      </c>
      <c r="B156" s="1" t="n">
        <v>45258</v>
      </c>
      <c r="C156" s="1" t="n">
        <v>45340</v>
      </c>
      <c r="D156" t="inlineStr">
        <is>
          <t>STOCKHOLMS LÄN</t>
        </is>
      </c>
      <c r="E156" t="inlineStr">
        <is>
          <t>SIGTUNA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60155-2023</t>
        </is>
      </c>
      <c r="B157" s="1" t="n">
        <v>45258</v>
      </c>
      <c r="C157" s="1" t="n">
        <v>45340</v>
      </c>
      <c r="D157" t="inlineStr">
        <is>
          <t>STOCKHOLMS LÄN</t>
        </is>
      </c>
      <c r="E157" t="inlineStr">
        <is>
          <t>SIGTUNA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60932-2023</t>
        </is>
      </c>
      <c r="B158" s="1" t="n">
        <v>45261</v>
      </c>
      <c r="C158" s="1" t="n">
        <v>45340</v>
      </c>
      <c r="D158" t="inlineStr">
        <is>
          <t>STOCKHOLMS LÄN</t>
        </is>
      </c>
      <c r="E158" t="inlineStr">
        <is>
          <t>SIGTUNA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60934-2023</t>
        </is>
      </c>
      <c r="B159" s="1" t="n">
        <v>45261</v>
      </c>
      <c r="C159" s="1" t="n">
        <v>45340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60922-2023</t>
        </is>
      </c>
      <c r="B160" s="1" t="n">
        <v>45261</v>
      </c>
      <c r="C160" s="1" t="n">
        <v>45340</v>
      </c>
      <c r="D160" t="inlineStr">
        <is>
          <t>STOCKHOLMS LÄN</t>
        </is>
      </c>
      <c r="E160" t="inlineStr">
        <is>
          <t>SIGTUNA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60935-2023</t>
        </is>
      </c>
      <c r="B161" s="1" t="n">
        <v>45261</v>
      </c>
      <c r="C161" s="1" t="n">
        <v>45340</v>
      </c>
      <c r="D161" t="inlineStr">
        <is>
          <t>STOCKHOLMS LÄN</t>
        </is>
      </c>
      <c r="E161" t="inlineStr">
        <is>
          <t>SIGTUNA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60927-2023</t>
        </is>
      </c>
      <c r="B162" s="1" t="n">
        <v>45261</v>
      </c>
      <c r="C162" s="1" t="n">
        <v>45340</v>
      </c>
      <c r="D162" t="inlineStr">
        <is>
          <t>STOCKHOLMS LÄN</t>
        </is>
      </c>
      <c r="E162" t="inlineStr">
        <is>
          <t>SIGTUNA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62010-2023</t>
        </is>
      </c>
      <c r="B163" s="1" t="n">
        <v>45266</v>
      </c>
      <c r="C163" s="1" t="n">
        <v>45340</v>
      </c>
      <c r="D163" t="inlineStr">
        <is>
          <t>STOCKHOLMS LÄN</t>
        </is>
      </c>
      <c r="E163" t="inlineStr">
        <is>
          <t>SIGTUNA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64345-2023</t>
        </is>
      </c>
      <c r="B164" s="1" t="n">
        <v>45280</v>
      </c>
      <c r="C164" s="1" t="n">
        <v>45340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1971-2024</t>
        </is>
      </c>
      <c r="B165" s="1" t="n">
        <v>45308</v>
      </c>
      <c r="C165" s="1" t="n">
        <v>45340</v>
      </c>
      <c r="D165" t="inlineStr">
        <is>
          <t>STOCKHOLMS LÄN</t>
        </is>
      </c>
      <c r="E165" t="inlineStr">
        <is>
          <t>SIGTUNA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2496-2024</t>
        </is>
      </c>
      <c r="B166" s="1" t="n">
        <v>45313</v>
      </c>
      <c r="C166" s="1" t="n">
        <v>45340</v>
      </c>
      <c r="D166" t="inlineStr">
        <is>
          <t>STOCKHOLMS LÄN</t>
        </is>
      </c>
      <c r="E166" t="inlineStr">
        <is>
          <t>SIGTUNA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5142-2024</t>
        </is>
      </c>
      <c r="B167" s="1" t="n">
        <v>45330</v>
      </c>
      <c r="C167" s="1" t="n">
        <v>45340</v>
      </c>
      <c r="D167" t="inlineStr">
        <is>
          <t>STOCKHOLMS LÄN</t>
        </is>
      </c>
      <c r="E167" t="inlineStr">
        <is>
          <t>SIGTUNA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2024-02-18T23:33:03Z</dcterms:created>
  <dcterms:modified xmlns:dcterms="http://purl.org/dc/terms/" xmlns:xsi="http://www.w3.org/2001/XMLSchema-instance" xsi:type="dcterms:W3CDTF">2024-02-18T23:33:03Z</dcterms:modified>
</cp:coreProperties>
</file>
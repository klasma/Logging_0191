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60838-2021</t>
        </is>
      </c>
      <c r="B2" s="1" t="n">
        <v>44497</v>
      </c>
      <c r="C2" s="1" t="n">
        <v>45688</v>
      </c>
      <c r="D2" t="inlineStr">
        <is>
          <t>STOCKHOLMS LÄN</t>
        </is>
      </c>
      <c r="E2" t="inlineStr">
        <is>
          <t>SIGTUNA</t>
        </is>
      </c>
      <c r="G2" t="n">
        <v>13.7</v>
      </c>
      <c r="H2" t="n">
        <v>11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Björktrast
Blå kärrhök
Duvhök
Gulsparv
Rödvingetrast
Skrattmås
Grönsiska
Kungsfågel
Nattskärra
Trädlärka
Törnskata</t>
        </is>
      </c>
      <c r="S2">
        <f>HYPERLINK("https://klasma.github.io/Logging_0191/artfynd/A 60838-2021 artfynd.xlsx", "A 60838-2021")</f>
        <v/>
      </c>
      <c r="T2">
        <f>HYPERLINK("https://klasma.github.io/Logging_0191/kartor/A 60838-2021 karta.png", "A 60838-2021")</f>
        <v/>
      </c>
      <c r="V2">
        <f>HYPERLINK("https://klasma.github.io/Logging_0191/klagomål/A 60838-2021 FSC-klagomål.docx", "A 60838-2021")</f>
        <v/>
      </c>
      <c r="W2">
        <f>HYPERLINK("https://klasma.github.io/Logging_0191/klagomålsmail/A 60838-2021 FSC-klagomål mail.docx", "A 60838-2021")</f>
        <v/>
      </c>
      <c r="X2">
        <f>HYPERLINK("https://klasma.github.io/Logging_0191/tillsyn/A 60838-2021 tillsynsbegäran.docx", "A 60838-2021")</f>
        <v/>
      </c>
      <c r="Y2">
        <f>HYPERLINK("https://klasma.github.io/Logging_0191/tillsynsmail/A 60838-2021 tillsynsbegäran mail.docx", "A 60838-2021")</f>
        <v/>
      </c>
      <c r="Z2">
        <f>HYPERLINK("https://klasma.github.io/Logging_0191/fåglar/A 60838-2021 prioriterade fågelarter.docx", "A 60838-2021")</f>
        <v/>
      </c>
    </row>
    <row r="3" ht="15" customHeight="1">
      <c r="A3" t="inlineStr">
        <is>
          <t>A 20030-2020</t>
        </is>
      </c>
      <c r="B3" s="1" t="n">
        <v>43942</v>
      </c>
      <c r="C3" s="1" t="n">
        <v>45688</v>
      </c>
      <c r="D3" t="inlineStr">
        <is>
          <t>STOCKHOLMS LÄN</t>
        </is>
      </c>
      <c r="E3" t="inlineStr">
        <is>
          <t>SIGTUNA</t>
        </is>
      </c>
      <c r="G3" t="n">
        <v>11.5</v>
      </c>
      <c r="H3" t="n">
        <v>9</v>
      </c>
      <c r="I3" t="n">
        <v>1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Grönfink
Tofsvipa
Svartvit flugsnappare
Talltita
Vågbandad barkbock
Gröngöling
Grönsiska
Järnsparv
Kungsfågel
Blåsippa</t>
        </is>
      </c>
      <c r="S3">
        <f>HYPERLINK("https://klasma.github.io/Logging_0191/artfynd/A 20030-2020 artfynd.xlsx", "A 20030-2020")</f>
        <v/>
      </c>
      <c r="T3">
        <f>HYPERLINK("https://klasma.github.io/Logging_0191/kartor/A 20030-2020 karta.png", "A 20030-2020")</f>
        <v/>
      </c>
      <c r="V3">
        <f>HYPERLINK("https://klasma.github.io/Logging_0191/klagomål/A 20030-2020 FSC-klagomål.docx", "A 20030-2020")</f>
        <v/>
      </c>
      <c r="W3">
        <f>HYPERLINK("https://klasma.github.io/Logging_0191/klagomålsmail/A 20030-2020 FSC-klagomål mail.docx", "A 20030-2020")</f>
        <v/>
      </c>
      <c r="X3">
        <f>HYPERLINK("https://klasma.github.io/Logging_0191/tillsyn/A 20030-2020 tillsynsbegäran.docx", "A 20030-2020")</f>
        <v/>
      </c>
      <c r="Y3">
        <f>HYPERLINK("https://klasma.github.io/Logging_0191/tillsynsmail/A 20030-2020 tillsynsbegäran mail.docx", "A 20030-2020")</f>
        <v/>
      </c>
      <c r="Z3">
        <f>HYPERLINK("https://klasma.github.io/Logging_0191/fåglar/A 20030-2020 prioriterade fågelarter.docx", "A 20030-2020")</f>
        <v/>
      </c>
    </row>
    <row r="4" ht="15" customHeight="1">
      <c r="A4" t="inlineStr">
        <is>
          <t>A 61919-2021</t>
        </is>
      </c>
      <c r="B4" s="1" t="n">
        <v>44502</v>
      </c>
      <c r="C4" s="1" t="n">
        <v>45688</v>
      </c>
      <c r="D4" t="inlineStr">
        <is>
          <t>STOCKHOLMS LÄN</t>
        </is>
      </c>
      <c r="E4" t="inlineStr">
        <is>
          <t>SIGTUNA</t>
        </is>
      </c>
      <c r="G4" t="n">
        <v>4.7</v>
      </c>
      <c r="H4" t="n">
        <v>7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Gulsparv
Spillkråka
Björksplintborre
Granbarkgnagare
Vågbandad barkbock
Enkelbeckasin
Kungsfågel
Större vattensalamander
Mindre vattensalamander
Blåsippa</t>
        </is>
      </c>
      <c r="S4">
        <f>HYPERLINK("https://klasma.github.io/Logging_0191/artfynd/A 61919-2021 artfynd.xlsx", "A 61919-2021")</f>
        <v/>
      </c>
      <c r="T4">
        <f>HYPERLINK("https://klasma.github.io/Logging_0191/kartor/A 61919-2021 karta.png", "A 61919-2021")</f>
        <v/>
      </c>
      <c r="V4">
        <f>HYPERLINK("https://klasma.github.io/Logging_0191/klagomål/A 61919-2021 FSC-klagomål.docx", "A 61919-2021")</f>
        <v/>
      </c>
      <c r="W4">
        <f>HYPERLINK("https://klasma.github.io/Logging_0191/klagomålsmail/A 61919-2021 FSC-klagomål mail.docx", "A 61919-2021")</f>
        <v/>
      </c>
      <c r="X4">
        <f>HYPERLINK("https://klasma.github.io/Logging_0191/tillsyn/A 61919-2021 tillsynsbegäran.docx", "A 61919-2021")</f>
        <v/>
      </c>
      <c r="Y4">
        <f>HYPERLINK("https://klasma.github.io/Logging_0191/tillsynsmail/A 61919-2021 tillsynsbegäran mail.docx", "A 61919-2021")</f>
        <v/>
      </c>
      <c r="Z4">
        <f>HYPERLINK("https://klasma.github.io/Logging_0191/fåglar/A 61919-2021 prioriterade fågelarter.docx", "A 61919-2021")</f>
        <v/>
      </c>
    </row>
    <row r="5" ht="15" customHeight="1">
      <c r="A5" t="inlineStr">
        <is>
          <t>A 58658-2023</t>
        </is>
      </c>
      <c r="B5" s="1" t="n">
        <v>45251</v>
      </c>
      <c r="C5" s="1" t="n">
        <v>45688</v>
      </c>
      <c r="D5" t="inlineStr">
        <is>
          <t>STOCKHOLMS LÄN</t>
        </is>
      </c>
      <c r="E5" t="inlineStr">
        <is>
          <t>SIGTUNA</t>
        </is>
      </c>
      <c r="F5" t="inlineStr">
        <is>
          <t>Kommuner</t>
        </is>
      </c>
      <c r="G5" t="n">
        <v>4.8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Aspborre
Entita
Grön aspvedbock
Spillkråka
Granbarkgnagare
Myskbock
Skogsödla
Blåsippa
Gullviva</t>
        </is>
      </c>
      <c r="S5">
        <f>HYPERLINK("https://klasma.github.io/Logging_0191/artfynd/A 58658-2023 artfynd.xlsx", "A 58658-2023")</f>
        <v/>
      </c>
      <c r="T5">
        <f>HYPERLINK("https://klasma.github.io/Logging_0191/kartor/A 58658-2023 karta.png", "A 58658-2023")</f>
        <v/>
      </c>
      <c r="V5">
        <f>HYPERLINK("https://klasma.github.io/Logging_0191/klagomål/A 58658-2023 FSC-klagomål.docx", "A 58658-2023")</f>
        <v/>
      </c>
      <c r="W5">
        <f>HYPERLINK("https://klasma.github.io/Logging_0191/klagomålsmail/A 58658-2023 FSC-klagomål mail.docx", "A 58658-2023")</f>
        <v/>
      </c>
      <c r="X5">
        <f>HYPERLINK("https://klasma.github.io/Logging_0191/tillsyn/A 58658-2023 tillsynsbegäran.docx", "A 58658-2023")</f>
        <v/>
      </c>
      <c r="Y5">
        <f>HYPERLINK("https://klasma.github.io/Logging_0191/tillsynsmail/A 58658-2023 tillsynsbegäran mail.docx", "A 58658-2023")</f>
        <v/>
      </c>
      <c r="Z5">
        <f>HYPERLINK("https://klasma.github.io/Logging_0191/fåglar/A 58658-2023 prioriterade fågelarter.docx", "A 58658-2023")</f>
        <v/>
      </c>
    </row>
    <row r="6" ht="15" customHeight="1">
      <c r="A6" t="inlineStr">
        <is>
          <t>A 36440-2024</t>
        </is>
      </c>
      <c r="B6" s="1" t="n">
        <v>45535</v>
      </c>
      <c r="C6" s="1" t="n">
        <v>45688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7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Gulsparv
Talltita
Ärtsångare
Bronshjon
Granbarkgnagare
Grönsiska
Kungsfågel
Vanlig padda
Revlummer</t>
        </is>
      </c>
      <c r="S6">
        <f>HYPERLINK("https://klasma.github.io/Logging_0191/artfynd/A 36440-2024 artfynd.xlsx", "A 36440-2024")</f>
        <v/>
      </c>
      <c r="T6">
        <f>HYPERLINK("https://klasma.github.io/Logging_0191/kartor/A 36440-2024 karta.png", "A 36440-2024")</f>
        <v/>
      </c>
      <c r="V6">
        <f>HYPERLINK("https://klasma.github.io/Logging_0191/klagomål/A 36440-2024 FSC-klagomål.docx", "A 36440-2024")</f>
        <v/>
      </c>
      <c r="W6">
        <f>HYPERLINK("https://klasma.github.io/Logging_0191/klagomålsmail/A 36440-2024 FSC-klagomål mail.docx", "A 36440-2024")</f>
        <v/>
      </c>
      <c r="X6">
        <f>HYPERLINK("https://klasma.github.io/Logging_0191/tillsyn/A 36440-2024 tillsynsbegäran.docx", "A 36440-2024")</f>
        <v/>
      </c>
      <c r="Y6">
        <f>HYPERLINK("https://klasma.github.io/Logging_0191/tillsynsmail/A 36440-2024 tillsynsbegäran mail.docx", "A 36440-2024")</f>
        <v/>
      </c>
      <c r="Z6">
        <f>HYPERLINK("https://klasma.github.io/Logging_0191/fåglar/A 36440-2024 prioriterade fågelarter.docx", "A 36440-2024")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45688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6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Thomsons trägnagare
Vanlig flatbagge
Grönsiska
Järnsparv
Kungsfågel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45688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45688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45688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45688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45688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45688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45688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45688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45688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45688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45688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45688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45688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45688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45688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45688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45688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45688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45688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45688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45688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45688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45688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45688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45688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45688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45688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45688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45688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45688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45688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45688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45688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45688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45688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45688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45688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45688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45688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45688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45688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45688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45688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45688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45688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45688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45688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45688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45688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45688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45688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45688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45688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45688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45688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45688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45688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45688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45688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45688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45688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45688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45688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45688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45688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45688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45688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45688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45688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45688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45688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45688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45688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45688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45688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45688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45688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45688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45688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45688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45688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45688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45688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45688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45688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45688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45688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45688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45688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45688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45688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45688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45688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45688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45688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45688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45688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45688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45688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45688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45688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45688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45688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45688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45688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45688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45688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45688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45688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45688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45688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45688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45688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45688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45688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45688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45688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45688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45688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45688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45688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45688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45688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45688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45688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45688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45688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45688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45688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45688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45688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45688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45688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45688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45688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45688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45688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45688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45688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45688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45688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45688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45688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45688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45688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45688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45688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45688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45688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45688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45688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45688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45688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45688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45688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45688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45688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45688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45688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45688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45688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45688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45688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45688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45688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45688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45688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45688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45688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45688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45688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45688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45688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45688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45688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45688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45688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45688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45688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45688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45688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45688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45688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45688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45688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45688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45688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45688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45688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45688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45688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45688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45688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45688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45688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45688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45688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45688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45688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45688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45688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45688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45688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45688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2896-2025</t>
        </is>
      </c>
      <c r="B212" s="1" t="n">
        <v>45677</v>
      </c>
      <c r="C212" s="1" t="n">
        <v>45688</v>
      </c>
      <c r="D212" t="inlineStr">
        <is>
          <t>STOCKHOLMS LÄN</t>
        </is>
      </c>
      <c r="E212" t="inlineStr">
        <is>
          <t>SIGTUNA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45688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3890-2025</t>
        </is>
      </c>
      <c r="B214" s="1" t="n">
        <v>45684</v>
      </c>
      <c r="C214" s="1" t="n">
        <v>45688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2025-01-31T22:05:55Z</dcterms:created>
  <dcterms:modified xmlns:dcterms="http://purl.org/dc/terms/" xmlns:xsi="http://www.w3.org/2001/XMLSchema-instance" xsi:type="dcterms:W3CDTF">2025-01-31T22:05:55Z</dcterms:modified>
</cp:coreProperties>
</file>
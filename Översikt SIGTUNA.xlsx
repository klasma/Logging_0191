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45928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45928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45928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45928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45928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45928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45928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45928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45928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44377-2025</t>
        </is>
      </c>
      <c r="B11" s="1" t="n">
        <v>45916</v>
      </c>
      <c r="C11" s="1" t="n">
        <v>45928</v>
      </c>
      <c r="D11" t="inlineStr">
        <is>
          <t>STOCKHOLMS LÄN</t>
        </is>
      </c>
      <c r="E11" t="inlineStr">
        <is>
          <t>SIGTUNA</t>
        </is>
      </c>
      <c r="G11" t="n">
        <v>19.6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HYPERLINK("https://klasma.github.io/Logging_0191/artfynd/A 44377-2025 artfynd.xlsx", "A 44377-2025")</f>
        <v/>
      </c>
      <c r="T11">
        <f>HYPERLINK("https://klasma.github.io/Logging_0191/kartor/A 44377-2025 karta.png", "A 44377-2025")</f>
        <v/>
      </c>
      <c r="V11">
        <f>HYPERLINK("https://klasma.github.io/Logging_0191/klagomål/A 44377-2025 FSC-klagomål.docx", "A 44377-2025")</f>
        <v/>
      </c>
      <c r="W11">
        <f>HYPERLINK("https://klasma.github.io/Logging_0191/klagomålsmail/A 44377-2025 FSC-klagomål mail.docx", "A 44377-2025")</f>
        <v/>
      </c>
      <c r="X11">
        <f>HYPERLINK("https://klasma.github.io/Logging_0191/tillsyn/A 44377-2025 tillsynsbegäran.docx", "A 44377-2025")</f>
        <v/>
      </c>
      <c r="Y11">
        <f>HYPERLINK("https://klasma.github.io/Logging_0191/tillsynsmail/A 44377-2025 tillsynsbegäran mail.docx", "A 44377-2025")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45928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45928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45928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45928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45928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45928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45928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45928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45928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45928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45928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45928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45928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45928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45928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45928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45928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45928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45928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45928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45928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65340-2021</t>
        </is>
      </c>
      <c r="B33" s="1" t="n">
        <v>44515</v>
      </c>
      <c r="C33" s="1" t="n">
        <v>45928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28681-2025</t>
        </is>
      </c>
      <c r="B34" s="1" t="n">
        <v>45819.68207175926</v>
      </c>
      <c r="C34" s="1" t="n">
        <v>45928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20960-2023</t>
        </is>
      </c>
      <c r="B35" s="1" t="n">
        <v>45061</v>
      </c>
      <c r="C35" s="1" t="n">
        <v>45928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28851-2022</t>
        </is>
      </c>
      <c r="B36" s="1" t="n">
        <v>44749.47957175926</v>
      </c>
      <c r="C36" s="1" t="n">
        <v>45928</v>
      </c>
      <c r="D36" t="inlineStr">
        <is>
          <t>STOCKHOLMS LÄN</t>
        </is>
      </c>
      <c r="E36" t="inlineStr">
        <is>
          <t>SIGTUNA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35616-2025</t>
        </is>
      </c>
      <c r="B37" s="1" t="n">
        <v>45857</v>
      </c>
      <c r="C37" s="1" t="n">
        <v>45928</v>
      </c>
      <c r="D37" t="inlineStr">
        <is>
          <t>STOCKHOLMS LÄN</t>
        </is>
      </c>
      <c r="E37" t="inlineStr">
        <is>
          <t>SIGTUNA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45928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45928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45928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45928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45928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59168-2022</t>
        </is>
      </c>
      <c r="B43" s="1" t="n">
        <v>44904.48028935185</v>
      </c>
      <c r="C43" s="1" t="n">
        <v>45928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64372-2020</t>
        </is>
      </c>
      <c r="B44" s="1" t="n">
        <v>44168</v>
      </c>
      <c r="C44" s="1" t="n">
        <v>45928</v>
      </c>
      <c r="D44" t="inlineStr">
        <is>
          <t>STOCKHOLMS LÄN</t>
        </is>
      </c>
      <c r="E44" t="inlineStr">
        <is>
          <t>SIGTUNA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11285-2023</t>
        </is>
      </c>
      <c r="B45" s="1" t="n">
        <v>44992</v>
      </c>
      <c r="C45" s="1" t="n">
        <v>45928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60922-2023</t>
        </is>
      </c>
      <c r="B46" s="1" t="n">
        <v>45261.40866898148</v>
      </c>
      <c r="C46" s="1" t="n">
        <v>45928</v>
      </c>
      <c r="D46" t="inlineStr">
        <is>
          <t>STOCKHOLMS LÄN</t>
        </is>
      </c>
      <c r="E46" t="inlineStr">
        <is>
          <t>SIGTUNA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41702-2023</t>
        </is>
      </c>
      <c r="B47" s="1" t="n">
        <v>45176</v>
      </c>
      <c r="C47" s="1" t="n">
        <v>45928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45928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61576-2024</t>
        </is>
      </c>
      <c r="B49" s="1" t="n">
        <v>45646.6218287037</v>
      </c>
      <c r="C49" s="1" t="n">
        <v>45928</v>
      </c>
      <c r="D49" t="inlineStr">
        <is>
          <t>STOCKHOLMS LÄN</t>
        </is>
      </c>
      <c r="E49" t="inlineStr">
        <is>
          <t>SIGTUNA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45928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45928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38276-2023</t>
        </is>
      </c>
      <c r="B52" s="1" t="n">
        <v>45160</v>
      </c>
      <c r="C52" s="1" t="n">
        <v>45928</v>
      </c>
      <c r="D52" t="inlineStr">
        <is>
          <t>STOCKHOLMS LÄN</t>
        </is>
      </c>
      <c r="E52" t="inlineStr">
        <is>
          <t>SIGTUNA</t>
        </is>
      </c>
      <c r="G52" t="n">
        <v>18.1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45233-2024</t>
        </is>
      </c>
      <c r="B53" s="1" t="n">
        <v>45575</v>
      </c>
      <c r="C53" s="1" t="n">
        <v>45928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20375-2023</t>
        </is>
      </c>
      <c r="B54" s="1" t="n">
        <v>45054</v>
      </c>
      <c r="C54" s="1" t="n">
        <v>45928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15428-2021</t>
        </is>
      </c>
      <c r="B55" s="1" t="n">
        <v>44285</v>
      </c>
      <c r="C55" s="1" t="n">
        <v>45928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40643-2024</t>
        </is>
      </c>
      <c r="B56" s="1" t="n">
        <v>45558</v>
      </c>
      <c r="C56" s="1" t="n">
        <v>45928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41693-2022</t>
        </is>
      </c>
      <c r="B57" s="1" t="n">
        <v>44827</v>
      </c>
      <c r="C57" s="1" t="n">
        <v>45928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45928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61589-2024</t>
        </is>
      </c>
      <c r="B59" s="1" t="n">
        <v>45646.62961805556</v>
      </c>
      <c r="C59" s="1" t="n">
        <v>45928</v>
      </c>
      <c r="D59" t="inlineStr">
        <is>
          <t>STOCKHOLMS LÄN</t>
        </is>
      </c>
      <c r="E59" t="inlineStr">
        <is>
          <t>SIGTUNA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51770-2023</t>
        </is>
      </c>
      <c r="B60" s="1" t="n">
        <v>45222.71855324074</v>
      </c>
      <c r="C60" s="1" t="n">
        <v>45928</v>
      </c>
      <c r="D60" t="inlineStr">
        <is>
          <t>STOCKHOLMS LÄN</t>
        </is>
      </c>
      <c r="E60" t="inlineStr">
        <is>
          <t>SIGTUNA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45928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45928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45928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45928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38465-2023</t>
        </is>
      </c>
      <c r="B65" s="1" t="n">
        <v>45162</v>
      </c>
      <c r="C65" s="1" t="n">
        <v>45928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46757-2023</t>
        </is>
      </c>
      <c r="B66" s="1" t="n">
        <v>45198</v>
      </c>
      <c r="C66" s="1" t="n">
        <v>45928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45928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8673-2025</t>
        </is>
      </c>
      <c r="B68" s="1" t="n">
        <v>45712.4272337963</v>
      </c>
      <c r="C68" s="1" t="n">
        <v>45928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31684-2022</t>
        </is>
      </c>
      <c r="B69" s="1" t="n">
        <v>44776</v>
      </c>
      <c r="C69" s="1" t="n">
        <v>45928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25452-2023</t>
        </is>
      </c>
      <c r="B70" s="1" t="n">
        <v>45089</v>
      </c>
      <c r="C70" s="1" t="n">
        <v>45928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25459-2023</t>
        </is>
      </c>
      <c r="B71" s="1" t="n">
        <v>45089</v>
      </c>
      <c r="C71" s="1" t="n">
        <v>45928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45928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60865-2024</t>
        </is>
      </c>
      <c r="B73" s="1" t="n">
        <v>45644.69387731481</v>
      </c>
      <c r="C73" s="1" t="n">
        <v>45928</v>
      </c>
      <c r="D73" t="inlineStr">
        <is>
          <t>STOCKHOLMS LÄN</t>
        </is>
      </c>
      <c r="E73" t="inlineStr">
        <is>
          <t>SIGTUNA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19294-2025</t>
        </is>
      </c>
      <c r="B74" s="1" t="n">
        <v>45769.56142361111</v>
      </c>
      <c r="C74" s="1" t="n">
        <v>45928</v>
      </c>
      <c r="D74" t="inlineStr">
        <is>
          <t>STOCKHOLMS LÄN</t>
        </is>
      </c>
      <c r="E74" t="inlineStr">
        <is>
          <t>SIGTUNA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45928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50585-2020</t>
        </is>
      </c>
      <c r="B76" s="1" t="n">
        <v>44110</v>
      </c>
      <c r="C76" s="1" t="n">
        <v>45928</v>
      </c>
      <c r="D76" t="inlineStr">
        <is>
          <t>STOCKHOLMS LÄN</t>
        </is>
      </c>
      <c r="E76" t="inlineStr">
        <is>
          <t>SIGTUNA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24967-2024</t>
        </is>
      </c>
      <c r="B77" s="1" t="n">
        <v>45461</v>
      </c>
      <c r="C77" s="1" t="n">
        <v>45928</v>
      </c>
      <c r="D77" t="inlineStr">
        <is>
          <t>STOCKHOLMS LÄN</t>
        </is>
      </c>
      <c r="E77" t="inlineStr">
        <is>
          <t>SIGTUNA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45928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16734-2025</t>
        </is>
      </c>
      <c r="B79" s="1" t="n">
        <v>45754.53179398148</v>
      </c>
      <c r="C79" s="1" t="n">
        <v>45928</v>
      </c>
      <c r="D79" t="inlineStr">
        <is>
          <t>STOCKHOLMS LÄN</t>
        </is>
      </c>
      <c r="E79" t="inlineStr">
        <is>
          <t>SIGTUNA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43158-2024</t>
        </is>
      </c>
      <c r="B80" s="1" t="n">
        <v>45567</v>
      </c>
      <c r="C80" s="1" t="n">
        <v>45928</v>
      </c>
      <c r="D80" t="inlineStr">
        <is>
          <t>STOCKHOLMS LÄN</t>
        </is>
      </c>
      <c r="E80" t="inlineStr">
        <is>
          <t>SIGTUNA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24946-2024</t>
        </is>
      </c>
      <c r="B81" s="1" t="n">
        <v>45461</v>
      </c>
      <c r="C81" s="1" t="n">
        <v>45928</v>
      </c>
      <c r="D81" t="inlineStr">
        <is>
          <t>STOCKHOLMS LÄN</t>
        </is>
      </c>
      <c r="E81" t="inlineStr">
        <is>
          <t>SIGTUNA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45928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45928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45928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45928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45590.58184027778</v>
      </c>
      <c r="C86" s="1" t="n">
        <v>45928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22402-2025</t>
        </is>
      </c>
      <c r="B87" s="1" t="n">
        <v>45786.53287037037</v>
      </c>
      <c r="C87" s="1" t="n">
        <v>45928</v>
      </c>
      <c r="D87" t="inlineStr">
        <is>
          <t>STOCKHOLMS LÄN</t>
        </is>
      </c>
      <c r="E87" t="inlineStr">
        <is>
          <t>SIGTUNA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35961-2024</t>
        </is>
      </c>
      <c r="B88" s="1" t="n">
        <v>45533</v>
      </c>
      <c r="C88" s="1" t="n">
        <v>45928</v>
      </c>
      <c r="D88" t="inlineStr">
        <is>
          <t>STOCKHOLMS LÄN</t>
        </is>
      </c>
      <c r="E88" t="inlineStr">
        <is>
          <t>SIGTUNA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45928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43700-2023</t>
        </is>
      </c>
      <c r="B90" s="1" t="n">
        <v>45187</v>
      </c>
      <c r="C90" s="1" t="n">
        <v>45928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19031-2024</t>
        </is>
      </c>
      <c r="B91" s="1" t="n">
        <v>45427</v>
      </c>
      <c r="C91" s="1" t="n">
        <v>45928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45928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45928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74170-2021</t>
        </is>
      </c>
      <c r="B94" s="1" t="n">
        <v>44557</v>
      </c>
      <c r="C94" s="1" t="n">
        <v>45928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45928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17320-2023</t>
        </is>
      </c>
      <c r="B96" s="1" t="n">
        <v>45035.54853009259</v>
      </c>
      <c r="C96" s="1" t="n">
        <v>45928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45928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7214-2022</t>
        </is>
      </c>
      <c r="B98" s="1" t="n">
        <v>44606.33935185185</v>
      </c>
      <c r="C98" s="1" t="n">
        <v>45928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45319-2023</t>
        </is>
      </c>
      <c r="B99" s="1" t="n">
        <v>45191</v>
      </c>
      <c r="C99" s="1" t="n">
        <v>45928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28673-2025</t>
        </is>
      </c>
      <c r="B100" s="1" t="n">
        <v>45819.67547453703</v>
      </c>
      <c r="C100" s="1" t="n">
        <v>45928</v>
      </c>
      <c r="D100" t="inlineStr">
        <is>
          <t>STOCKHOLMS LÄN</t>
        </is>
      </c>
      <c r="E100" t="inlineStr">
        <is>
          <t>SIGTUNA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29193-2025</t>
        </is>
      </c>
      <c r="B101" s="1" t="n">
        <v>45822.70847222222</v>
      </c>
      <c r="C101" s="1" t="n">
        <v>45928</v>
      </c>
      <c r="D101" t="inlineStr">
        <is>
          <t>STOCKHOLMS LÄN</t>
        </is>
      </c>
      <c r="E101" t="inlineStr">
        <is>
          <t>SIGTUNA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17286-2022</t>
        </is>
      </c>
      <c r="B102" s="1" t="n">
        <v>44678</v>
      </c>
      <c r="C102" s="1" t="n">
        <v>45928</v>
      </c>
      <c r="D102" t="inlineStr">
        <is>
          <t>STOCKHOLMS LÄN</t>
        </is>
      </c>
      <c r="E102" t="inlineStr">
        <is>
          <t>SIGTUNA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28752-2024</t>
        </is>
      </c>
      <c r="B103" s="1" t="n">
        <v>45478.57900462963</v>
      </c>
      <c r="C103" s="1" t="n">
        <v>45928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862-2022</t>
        </is>
      </c>
      <c r="B104" s="1" t="n">
        <v>44571</v>
      </c>
      <c r="C104" s="1" t="n">
        <v>45928</v>
      </c>
      <c r="D104" t="inlineStr">
        <is>
          <t>STOCKHOLMS LÄN</t>
        </is>
      </c>
      <c r="E104" t="inlineStr">
        <is>
          <t>SIGTUNA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24636-2023</t>
        </is>
      </c>
      <c r="B105" s="1" t="n">
        <v>45084</v>
      </c>
      <c r="C105" s="1" t="n">
        <v>45928</v>
      </c>
      <c r="D105" t="inlineStr">
        <is>
          <t>STOCKHOLMS LÄN</t>
        </is>
      </c>
      <c r="E105" t="inlineStr">
        <is>
          <t>SIGTUNA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45928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45928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45928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45928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19288-2025</t>
        </is>
      </c>
      <c r="B110" s="1" t="n">
        <v>45769.55366898148</v>
      </c>
      <c r="C110" s="1" t="n">
        <v>45928</v>
      </c>
      <c r="D110" t="inlineStr">
        <is>
          <t>STOCKHOLMS LÄN</t>
        </is>
      </c>
      <c r="E110" t="inlineStr">
        <is>
          <t>SIGTUNA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45928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19311-2025</t>
        </is>
      </c>
      <c r="B112" s="1" t="n">
        <v>45769.57142361111</v>
      </c>
      <c r="C112" s="1" t="n">
        <v>45928</v>
      </c>
      <c r="D112" t="inlineStr">
        <is>
          <t>STOCKHOLMS LÄN</t>
        </is>
      </c>
      <c r="E112" t="inlineStr">
        <is>
          <t>SIGTUNA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45928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36179-2022</t>
        </is>
      </c>
      <c r="B114" s="1" t="n">
        <v>44803</v>
      </c>
      <c r="C114" s="1" t="n">
        <v>45928</v>
      </c>
      <c r="D114" t="inlineStr">
        <is>
          <t>STOCKHOLMS LÄN</t>
        </is>
      </c>
      <c r="E114" t="inlineStr">
        <is>
          <t>SIGTUNA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36181-2022</t>
        </is>
      </c>
      <c r="B115" s="1" t="n">
        <v>44803</v>
      </c>
      <c r="C115" s="1" t="n">
        <v>45928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6826-2025</t>
        </is>
      </c>
      <c r="B116" s="1" t="n">
        <v>45700.73123842593</v>
      </c>
      <c r="C116" s="1" t="n">
        <v>45928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
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20030-2020</t>
        </is>
      </c>
      <c r="B2" s="1" t="n">
        <v>43942</v>
      </c>
      <c r="C2" s="1" t="n">
        <v>45649</v>
      </c>
      <c r="D2" t="inlineStr">
        <is>
          <t>STOCKHOLMS LÄN</t>
        </is>
      </c>
      <c r="E2" t="inlineStr">
        <is>
          <t>SIGTUNA</t>
        </is>
      </c>
      <c r="G2" t="n">
        <v>11.5</v>
      </c>
      <c r="H2" t="n">
        <v>9</v>
      </c>
      <c r="I2" t="n">
        <v>1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Grönfink
Tofsvipa
Svartvit flugsnappare
Talltita
Vågbandad barkbock
Gröngöling
Grönsiska
Järnsparv
Kungsfågel
Blåsippa</t>
        </is>
      </c>
      <c r="S2">
        <f>HYPERLINK("https://klasma.github.io/Logging_0191/artfynd/A 20030-2020 artfynd.xlsx", "A 20030-2020")</f>
        <v/>
      </c>
      <c r="T2">
        <f>HYPERLINK("https://klasma.github.io/Logging_0191/kartor/A 20030-2020 karta.png", "A 20030-2020")</f>
        <v/>
      </c>
      <c r="V2">
        <f>HYPERLINK("https://klasma.github.io/Logging_0191/klagomål/A 20030-2020 FSC-klagomål.docx", "A 20030-2020")</f>
        <v/>
      </c>
      <c r="W2">
        <f>HYPERLINK("https://klasma.github.io/Logging_0191/klagomålsmail/A 20030-2020 FSC-klagomål mail.docx", "A 20030-2020")</f>
        <v/>
      </c>
      <c r="X2">
        <f>HYPERLINK("https://klasma.github.io/Logging_0191/tillsyn/A 20030-2020 tillsynsbegäran.docx", "A 20030-2020")</f>
        <v/>
      </c>
      <c r="Y2">
        <f>HYPERLINK("https://klasma.github.io/Logging_0191/tillsynsmail/A 20030-2020 tillsynsbegäran mail.docx", "A 20030-2020")</f>
        <v/>
      </c>
      <c r="Z2">
        <f>HYPERLINK("https://klasma.github.io/Logging_0191/fåglar/A 20030-2020 prioriterade fågelarter.docx", "A 20030-2020")</f>
        <v/>
      </c>
    </row>
    <row r="3" ht="15" customHeight="1">
      <c r="A3" t="inlineStr">
        <is>
          <t>A 60838-2021</t>
        </is>
      </c>
      <c r="B3" s="1" t="n">
        <v>44497</v>
      </c>
      <c r="C3" s="1" t="n">
        <v>45649</v>
      </c>
      <c r="D3" t="inlineStr">
        <is>
          <t>STOCKHOLMS LÄN</t>
        </is>
      </c>
      <c r="E3" t="inlineStr">
        <is>
          <t>SIGTUNA</t>
        </is>
      </c>
      <c r="G3" t="n">
        <v>13.7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Blå kärrhök
Duvhök
Gulsparv
Rödvingetrast
Skrattmås
Grönsiska
Kungsfågel
Trädlärka
Törnskata</t>
        </is>
      </c>
      <c r="S3">
        <f>HYPERLINK("https://klasma.github.io/Logging_0191/artfynd/A 60838-2021 artfynd.xlsx", "A 60838-2021")</f>
        <v/>
      </c>
      <c r="T3">
        <f>HYPERLINK("https://klasma.github.io/Logging_0191/kartor/A 60838-2021 karta.png", "A 60838-2021")</f>
        <v/>
      </c>
      <c r="V3">
        <f>HYPERLINK("https://klasma.github.io/Logging_0191/klagomål/A 60838-2021 FSC-klagomål.docx", "A 60838-2021")</f>
        <v/>
      </c>
      <c r="W3">
        <f>HYPERLINK("https://klasma.github.io/Logging_0191/klagomålsmail/A 60838-2021 FSC-klagomål mail.docx", "A 60838-2021")</f>
        <v/>
      </c>
      <c r="X3">
        <f>HYPERLINK("https://klasma.github.io/Logging_0191/tillsyn/A 60838-2021 tillsynsbegäran.docx", "A 60838-2021")</f>
        <v/>
      </c>
      <c r="Y3">
        <f>HYPERLINK("https://klasma.github.io/Logging_0191/tillsynsmail/A 60838-2021 tillsynsbegäran mail.docx", "A 60838-2021")</f>
        <v/>
      </c>
      <c r="Z3">
        <f>HYPERLINK("https://klasma.github.io/Logging_0191/fåglar/A 60838-2021 prioriterade fågelarter.docx", "A 60838-2021")</f>
        <v/>
      </c>
    </row>
    <row r="4" ht="15" customHeight="1">
      <c r="A4" t="inlineStr">
        <is>
          <t>A 58658-2023</t>
        </is>
      </c>
      <c r="B4" s="1" t="n">
        <v>45251</v>
      </c>
      <c r="C4" s="1" t="n">
        <v>45649</v>
      </c>
      <c r="D4" t="inlineStr">
        <is>
          <t>STOCKHOLMS LÄN</t>
        </is>
      </c>
      <c r="E4" t="inlineStr">
        <is>
          <t>SIGTUNA</t>
        </is>
      </c>
      <c r="F4" t="inlineStr">
        <is>
          <t>Kommuner</t>
        </is>
      </c>
      <c r="G4" t="n">
        <v>4.8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Aspborre
Entita
Grön aspvedbock
Spillkråka
Granbarkgnagare
Myskbock
Skogsödla
Blåsippa
Gullviva</t>
        </is>
      </c>
      <c r="S4">
        <f>HYPERLINK("https://klasma.github.io/Logging_0191/artfynd/A 58658-2023 artfynd.xlsx", "A 58658-2023")</f>
        <v/>
      </c>
      <c r="T4">
        <f>HYPERLINK("https://klasma.github.io/Logging_0191/kartor/A 58658-2023 karta.png", "A 58658-2023")</f>
        <v/>
      </c>
      <c r="V4">
        <f>HYPERLINK("https://klasma.github.io/Logging_0191/klagomål/A 58658-2023 FSC-klagomål.docx", "A 58658-2023")</f>
        <v/>
      </c>
      <c r="W4">
        <f>HYPERLINK("https://klasma.github.io/Logging_0191/klagomålsmail/A 58658-2023 FSC-klagomål mail.docx", "A 58658-2023")</f>
        <v/>
      </c>
      <c r="X4">
        <f>HYPERLINK("https://klasma.github.io/Logging_0191/tillsyn/A 58658-2023 tillsynsbegäran.docx", "A 58658-2023")</f>
        <v/>
      </c>
      <c r="Y4">
        <f>HYPERLINK("https://klasma.github.io/Logging_0191/tillsynsmail/A 58658-2023 tillsynsbegäran mail.docx", "A 58658-2023")</f>
        <v/>
      </c>
      <c r="Z4">
        <f>HYPERLINK("https://klasma.github.io/Logging_0191/fåglar/A 58658-2023 prioriterade fågelarter.docx", "A 58658-2023")</f>
        <v/>
      </c>
    </row>
    <row r="5" ht="15" customHeight="1">
      <c r="A5" t="inlineStr">
        <is>
          <t>A 36440-2024</t>
        </is>
      </c>
      <c r="B5" s="1" t="n">
        <v>45535</v>
      </c>
      <c r="C5" s="1" t="n">
        <v>45649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7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Gulsparv
Talltita
Ärtsångare
Bronshjon
Granbarkgnagare
Grönsiska
Kungsfågel
Vanlig padda
Revlummer</t>
        </is>
      </c>
      <c r="S5">
        <f>HYPERLINK("https://klasma.github.io/Logging_0191/artfynd/A 36440-2024 artfynd.xlsx", "A 36440-2024")</f>
        <v/>
      </c>
      <c r="T5">
        <f>HYPERLINK("https://klasma.github.io/Logging_0191/kartor/A 36440-2024 karta.png", "A 36440-2024")</f>
        <v/>
      </c>
      <c r="V5">
        <f>HYPERLINK("https://klasma.github.io/Logging_0191/klagomål/A 36440-2024 FSC-klagomål.docx", "A 36440-2024")</f>
        <v/>
      </c>
      <c r="W5">
        <f>HYPERLINK("https://klasma.github.io/Logging_0191/klagomålsmail/A 36440-2024 FSC-klagomål mail.docx", "A 36440-2024")</f>
        <v/>
      </c>
      <c r="X5">
        <f>HYPERLINK("https://klasma.github.io/Logging_0191/tillsyn/A 36440-2024 tillsynsbegäran.docx", "A 36440-2024")</f>
        <v/>
      </c>
      <c r="Y5">
        <f>HYPERLINK("https://klasma.github.io/Logging_0191/tillsynsmail/A 36440-2024 tillsynsbegäran mail.docx", "A 36440-2024")</f>
        <v/>
      </c>
      <c r="Z5">
        <f>HYPERLINK("https://klasma.github.io/Logging_0191/fåglar/A 36440-2024 prioriterade fågelarter.docx", "A 36440-2024")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45649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6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Thomsons trägnagare
Vanlig flatbagge
Grönsiska
Järnsparv
Kungsfågel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61919-2021</t>
        </is>
      </c>
      <c r="B7" s="1" t="n">
        <v>44502</v>
      </c>
      <c r="C7" s="1" t="n">
        <v>45649</v>
      </c>
      <c r="D7" t="inlineStr">
        <is>
          <t>STOCKHOLMS LÄN</t>
        </is>
      </c>
      <c r="E7" t="inlineStr">
        <is>
          <t>SIGTUNA</t>
        </is>
      </c>
      <c r="G7" t="n">
        <v>4.7</v>
      </c>
      <c r="H7" t="n">
        <v>4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Björksplintborre
Granbarkgnagare
Vågbandad barkbock
Enkelbeckasin
Större vattensalamander
Mindre vattensalamander
Blåsippa</t>
        </is>
      </c>
      <c r="S7">
        <f>HYPERLINK("https://klasma.github.io/Logging_0191/artfynd/A 61919-2021 artfynd.xlsx", "A 61919-2021")</f>
        <v/>
      </c>
      <c r="T7">
        <f>HYPERLINK("https://klasma.github.io/Logging_0191/kartor/A 61919-2021 karta.png", "A 61919-2021")</f>
        <v/>
      </c>
      <c r="V7">
        <f>HYPERLINK("https://klasma.github.io/Logging_0191/klagomål/A 61919-2021 FSC-klagomål.docx", "A 61919-2021")</f>
        <v/>
      </c>
      <c r="W7">
        <f>HYPERLINK("https://klasma.github.io/Logging_0191/klagomålsmail/A 61919-2021 FSC-klagomål mail.docx", "A 61919-2021")</f>
        <v/>
      </c>
      <c r="X7">
        <f>HYPERLINK("https://klasma.github.io/Logging_0191/tillsyn/A 61919-2021 tillsynsbegäran.docx", "A 61919-2021")</f>
        <v/>
      </c>
      <c r="Y7">
        <f>HYPERLINK("https://klasma.github.io/Logging_0191/tillsynsmail/A 61919-2021 tillsynsbegäran mail.docx", "A 61919-2021")</f>
        <v/>
      </c>
      <c r="Z7">
        <f>HYPERLINK("https://klasma.github.io/Logging_0191/fåglar/A 61919-2021 prioriterade fågelarter.docx", "A 61919-2021")</f>
        <v/>
      </c>
    </row>
    <row r="8" ht="15" customHeight="1">
      <c r="A8" t="inlineStr">
        <is>
          <t>A 10000-2022</t>
        </is>
      </c>
      <c r="B8" s="1" t="n">
        <v>44621</v>
      </c>
      <c r="C8" s="1" t="n">
        <v>45649</v>
      </c>
      <c r="D8" t="inlineStr">
        <is>
          <t>STOCKHOLMS LÄN</t>
        </is>
      </c>
      <c r="E8" t="inlineStr">
        <is>
          <t>SIGTUNA</t>
        </is>
      </c>
      <c r="G8" t="n">
        <v>15.3</v>
      </c>
      <c r="H8" t="n">
        <v>7</v>
      </c>
      <c r="I8" t="n">
        <v>0</v>
      </c>
      <c r="J8" t="n">
        <v>3</v>
      </c>
      <c r="K8" t="n">
        <v>2</v>
      </c>
      <c r="L8" t="n">
        <v>1</v>
      </c>
      <c r="M8" t="n">
        <v>0</v>
      </c>
      <c r="N8" t="n">
        <v>0</v>
      </c>
      <c r="O8" t="n">
        <v>6</v>
      </c>
      <c r="P8" t="n">
        <v>3</v>
      </c>
      <c r="Q8" t="n">
        <v>7</v>
      </c>
      <c r="R8" s="2" t="inlineStr">
        <is>
          <t>Tornseglare
Hussvala
Vinterhämpling
Fiskmås
Gulsparv
Ärtsångare
Grönsiska</t>
        </is>
      </c>
      <c r="S8">
        <f>HYPERLINK("https://klasma.github.io/Logging_0191/artfynd/A 10000-2022 artfynd.xlsx", "A 10000-2022")</f>
        <v/>
      </c>
      <c r="T8">
        <f>HYPERLINK("https://klasma.github.io/Logging_0191/kartor/A 10000-2022 karta.png", "A 10000-2022")</f>
        <v/>
      </c>
      <c r="V8">
        <f>HYPERLINK("https://klasma.github.io/Logging_0191/klagomål/A 10000-2022 FSC-klagomål.docx", "A 10000-2022")</f>
        <v/>
      </c>
      <c r="W8">
        <f>HYPERLINK("https://klasma.github.io/Logging_0191/klagomålsmail/A 10000-2022 FSC-klagomål mail.docx", "A 10000-2022")</f>
        <v/>
      </c>
      <c r="X8">
        <f>HYPERLINK("https://klasma.github.io/Logging_0191/tillsyn/A 10000-2022 tillsynsbegäran.docx", "A 10000-2022")</f>
        <v/>
      </c>
      <c r="Y8">
        <f>HYPERLINK("https://klasma.github.io/Logging_0191/tillsynsmail/A 10000-2022 tillsynsbegäran mail.docx", "A 10000-2022")</f>
        <v/>
      </c>
      <c r="Z8">
        <f>HYPERLINK("https://klasma.github.io/Logging_0191/fåglar/A 10000-2022 prioriterade fågelarter.docx", "A 10000-2022")</f>
        <v/>
      </c>
    </row>
    <row r="9" ht="15" customHeight="1">
      <c r="A9" t="inlineStr">
        <is>
          <t>A 27425-2023</t>
        </is>
      </c>
      <c r="B9" s="1" t="n">
        <v>45097</v>
      </c>
      <c r="C9" s="1" t="n">
        <v>45649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9.300000000000001</v>
      </c>
      <c r="H9" t="n">
        <v>7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Gulsparv
Talltita
Grönsiska
Järnsparv
Kungsfågel
Skogsduva
Blåsippa</t>
        </is>
      </c>
      <c r="S9">
        <f>HYPERLINK("https://klasma.github.io/Logging_0191/artfynd/A 27425-2023 artfynd.xlsx", "A 27425-2023")</f>
        <v/>
      </c>
      <c r="T9">
        <f>HYPERLINK("https://klasma.github.io/Logging_0191/kartor/A 27425-2023 karta.png", "A 27425-2023")</f>
        <v/>
      </c>
      <c r="V9">
        <f>HYPERLINK("https://klasma.github.io/Logging_0191/klagomål/A 27425-2023 FSC-klagomål.docx", "A 27425-2023")</f>
        <v/>
      </c>
      <c r="W9">
        <f>HYPERLINK("https://klasma.github.io/Logging_0191/klagomålsmail/A 27425-2023 FSC-klagomål mail.docx", "A 27425-2023")</f>
        <v/>
      </c>
      <c r="X9">
        <f>HYPERLINK("https://klasma.github.io/Logging_0191/tillsyn/A 27425-2023 tillsynsbegäran.docx", "A 27425-2023")</f>
        <v/>
      </c>
      <c r="Y9">
        <f>HYPERLINK("https://klasma.github.io/Logging_0191/tillsynsmail/A 27425-2023 tillsynsbegäran mail.docx", "A 27425-2023")</f>
        <v/>
      </c>
      <c r="Z9">
        <f>HYPERLINK("https://klasma.github.io/Logging_0191/fåglar/A 27425-2023 prioriterade fågelarter.docx", "A 27425-2023")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45649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45649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45649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45649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45649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45649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45649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45649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45649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45649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45649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45649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45649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45649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45649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45649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45649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45649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45649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45649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45649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45649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45649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45649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45649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45649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45649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45649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45649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45649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45649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45649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45649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45649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45649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45649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45649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45649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45649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45649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45649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45649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45649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45649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45649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45649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45649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45649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45649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45649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45649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45649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45649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45649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45649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45649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45649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45649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45649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45649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45649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45649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45649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45649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45649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45649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45649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45649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45649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45649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45649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45649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45649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45649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45649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45649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45649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45649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45649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45649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45649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45649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45649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45649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45649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45649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45649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45649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45649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45649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45649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45649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45649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45649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45649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45649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45649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45649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45649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45649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45649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45649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45649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45649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45649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45649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45649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45649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45649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45649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45649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45649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45649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45649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45649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45649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45649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45649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45649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45649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45649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45649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45649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45649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45649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45649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45649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45649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45649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45649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45649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45649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45649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45649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45649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45649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45649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45649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45649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45649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45649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45649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45649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45649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45649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45649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45649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45649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45649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45649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45649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45649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45649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45649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45649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45649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45649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45649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45649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45649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45649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45649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45649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45649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45649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45649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45649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45649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45649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45649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45649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45649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45649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45649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45649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45649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45649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45649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45649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45649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45649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45649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45649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45649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45649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45649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45649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45649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58839-2024</t>
        </is>
      </c>
      <c r="B198" s="1" t="n">
        <v>45636</v>
      </c>
      <c r="C198" s="1" t="n">
        <v>45649</v>
      </c>
      <c r="D198" t="inlineStr">
        <is>
          <t>STOCKHOLMS LÄN</t>
        </is>
      </c>
      <c r="E198" t="inlineStr">
        <is>
          <t>SIGTUNA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59156-2024</t>
        </is>
      </c>
      <c r="B199" s="1" t="n">
        <v>45636</v>
      </c>
      <c r="C199" s="1" t="n">
        <v>45649</v>
      </c>
      <c r="D199" t="inlineStr">
        <is>
          <t>STOCKHOLMS LÄN</t>
        </is>
      </c>
      <c r="E199" t="inlineStr">
        <is>
          <t>SIGTUNA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45649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60423-2024</t>
        </is>
      </c>
      <c r="B201" s="1" t="n">
        <v>45643</v>
      </c>
      <c r="C201" s="1" t="n">
        <v>45649</v>
      </c>
      <c r="D201" t="inlineStr">
        <is>
          <t>STOCKHOLMS LÄN</t>
        </is>
      </c>
      <c r="E201" t="inlineStr">
        <is>
          <t>SIGTUNA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60434-2024</t>
        </is>
      </c>
      <c r="B202" s="1" t="n">
        <v>45643</v>
      </c>
      <c r="C202" s="1" t="n">
        <v>45649</v>
      </c>
      <c r="D202" t="inlineStr">
        <is>
          <t>STOCKHOLMS LÄN</t>
        </is>
      </c>
      <c r="E202" t="inlineStr">
        <is>
          <t>SIGTUNA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60455-2024</t>
        </is>
      </c>
      <c r="B203" s="1" t="n">
        <v>45643</v>
      </c>
      <c r="C203" s="1" t="n">
        <v>45649</v>
      </c>
      <c r="D203" t="inlineStr">
        <is>
          <t>STOCKHOLMS LÄN</t>
        </is>
      </c>
      <c r="E203" t="inlineStr">
        <is>
          <t>SIGTUNA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60865-2024</t>
        </is>
      </c>
      <c r="B204" s="1" t="n">
        <v>45644</v>
      </c>
      <c r="C204" s="1" t="n">
        <v>45649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61582-2024</t>
        </is>
      </c>
      <c r="B205" s="1" t="n">
        <v>45646</v>
      </c>
      <c r="C205" s="1" t="n">
        <v>45649</v>
      </c>
      <c r="D205" t="inlineStr">
        <is>
          <t>STOCKHOLMS LÄN</t>
        </is>
      </c>
      <c r="E205" t="inlineStr">
        <is>
          <t>SIGTUNA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61576-2024</t>
        </is>
      </c>
      <c r="B206" s="1" t="n">
        <v>45646</v>
      </c>
      <c r="C206" s="1" t="n">
        <v>45649</v>
      </c>
      <c r="D206" t="inlineStr">
        <is>
          <t>STOCKHOLMS LÄN</t>
        </is>
      </c>
      <c r="E206" t="inlineStr">
        <is>
          <t>SIGTUNA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61569-2024</t>
        </is>
      </c>
      <c r="B207" s="1" t="n">
        <v>45646</v>
      </c>
      <c r="C207" s="1" t="n">
        <v>45649</v>
      </c>
      <c r="D207" t="inlineStr">
        <is>
          <t>STOCKHOLMS LÄN</t>
        </is>
      </c>
      <c r="E207" t="inlineStr">
        <is>
          <t>SIGTUNA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61589-2024</t>
        </is>
      </c>
      <c r="B208" s="1" t="n">
        <v>45646</v>
      </c>
      <c r="C208" s="1" t="n">
        <v>45649</v>
      </c>
      <c r="D208" t="inlineStr">
        <is>
          <t>STOCKHOLMS LÄN</t>
        </is>
      </c>
      <c r="E208" t="inlineStr">
        <is>
          <t>SIGTUNA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2024-12-23T15:56:17Z</dcterms:created>
  <dcterms:modified xmlns:dcterms="http://purl.org/dc/terms/" xmlns:xsi="http://www.w3.org/2001/XMLSchema-instance" xsi:type="dcterms:W3CDTF">2024-12-23T15:56:17Z</dcterms:modified>
</cp:coreProperties>
</file>
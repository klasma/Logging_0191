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46194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46194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46194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46194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Mindre blåvinge
Tornseglare
Gulsparv
Jungfrulin
Ladusvala
Vinterhämpling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46194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46194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46194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46194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Grönsiska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  <c r="Z9">
        <f>HYPERLINK("https://klasma.github.io/Logging_0191/fåglar/A 3677-2026 prioriterade fågelarter.docx", "A 3677-2026")</f>
        <v/>
      </c>
    </row>
    <row r="10" ht="15" customHeight="1">
      <c r="A10" t="inlineStr">
        <is>
          <t>A 51189-2022</t>
        </is>
      </c>
      <c r="B10" s="1" t="n">
        <v>44865</v>
      </c>
      <c r="C10" s="1" t="n">
        <v>46194</v>
      </c>
      <c r="D10" t="inlineStr">
        <is>
          <t>STOCKHOLMS LÄN</t>
        </is>
      </c>
      <c r="E10" t="inlineStr">
        <is>
          <t>SIGTUNA</t>
        </is>
      </c>
      <c r="G10" t="n">
        <v>32.8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Större vattensalamander
Mindre vattensalamander</t>
        </is>
      </c>
      <c r="S10">
        <f>HYPERLINK("https://klasma.github.io/Logging_0191/artfynd/A 51189-2022 artfynd.xlsx", "A 51189-2022")</f>
        <v/>
      </c>
      <c r="T10">
        <f>HYPERLINK("https://klasma.github.io/Logging_0191/kartor/A 51189-2022 karta.png", "A 51189-2022")</f>
        <v/>
      </c>
      <c r="V10">
        <f>HYPERLINK("https://klasma.github.io/Logging_0191/klagomål/A 51189-2022 FSC-klagomål.docx", "A 51189-2022")</f>
        <v/>
      </c>
      <c r="W10">
        <f>HYPERLINK("https://klasma.github.io/Logging_0191/klagomålsmail/A 51189-2022 FSC-klagomål mail.docx", "A 51189-2022")</f>
        <v/>
      </c>
      <c r="X10">
        <f>HYPERLINK("https://klasma.github.io/Logging_0191/tillsyn/A 51189-2022 tillsynsbegäran.docx", "A 51189-2022")</f>
        <v/>
      </c>
      <c r="Y10">
        <f>HYPERLINK("https://klasma.github.io/Logging_0191/tillsynsmail/A 51189-2022 tillsynsbegäran mail.docx", "A 51189-2022")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46194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40643-2024</t>
        </is>
      </c>
      <c r="B12" s="1" t="n">
        <v>45558</v>
      </c>
      <c r="C12" s="1" t="n">
        <v>46194</v>
      </c>
      <c r="D12" t="inlineStr">
        <is>
          <t>STOCKHOLMS LÄN</t>
        </is>
      </c>
      <c r="E12" t="inlineStr">
        <is>
          <t>SIGTUNA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Bergsslok
Getrams</t>
        </is>
      </c>
      <c r="S12">
        <f>HYPERLINK("https://klasma.github.io/Logging_0191/artfynd/A 40643-2024 artfynd.xlsx", "A 40643-2024")</f>
        <v/>
      </c>
      <c r="T12">
        <f>HYPERLINK("https://klasma.github.io/Logging_0191/kartor/A 40643-2024 karta.png", "A 40643-2024")</f>
        <v/>
      </c>
      <c r="V12">
        <f>HYPERLINK("https://klasma.github.io/Logging_0191/klagomål/A 40643-2024 FSC-klagomål.docx", "A 40643-2024")</f>
        <v/>
      </c>
      <c r="W12">
        <f>HYPERLINK("https://klasma.github.io/Logging_0191/klagomålsmail/A 40643-2024 FSC-klagomål mail.docx", "A 40643-2024")</f>
        <v/>
      </c>
      <c r="X12">
        <f>HYPERLINK("https://klasma.github.io/Logging_0191/tillsyn/A 40643-2024 tillsynsbegäran.docx", "A 40643-2024")</f>
        <v/>
      </c>
      <c r="Y12">
        <f>HYPERLINK("https://klasma.github.io/Logging_0191/tillsynsmail/A 40643-2024 tillsynsbegäran mail.docx", "A 40643-2024")</f>
        <v/>
      </c>
    </row>
    <row r="13" ht="15" customHeight="1">
      <c r="A13" t="inlineStr">
        <is>
          <t>A 41957-2025</t>
        </is>
      </c>
      <c r="B13" s="1" t="n">
        <v>45903</v>
      </c>
      <c r="C13" s="1" t="n">
        <v>46194</v>
      </c>
      <c r="D13" t="inlineStr">
        <is>
          <t>STOCKHOLMS LÄN</t>
        </is>
      </c>
      <c r="E13" t="inlineStr">
        <is>
          <t>SIGTUNA</t>
        </is>
      </c>
      <c r="G13" t="n">
        <v>0.6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Gröngöling
Kungsfågel</t>
        </is>
      </c>
      <c r="S13">
        <f>HYPERLINK("https://klasma.github.io/Logging_0191/artfynd/A 41957-2025 artfynd.xlsx", "A 41957-2025")</f>
        <v/>
      </c>
      <c r="T13">
        <f>HYPERLINK("https://klasma.github.io/Logging_0191/kartor/A 41957-2025 karta.png", "A 41957-2025")</f>
        <v/>
      </c>
      <c r="V13">
        <f>HYPERLINK("https://klasma.github.io/Logging_0191/klagomål/A 41957-2025 FSC-klagomål.docx", "A 41957-2025")</f>
        <v/>
      </c>
      <c r="W13">
        <f>HYPERLINK("https://klasma.github.io/Logging_0191/klagomålsmail/A 41957-2025 FSC-klagomål mail.docx", "A 41957-2025")</f>
        <v/>
      </c>
      <c r="X13">
        <f>HYPERLINK("https://klasma.github.io/Logging_0191/tillsyn/A 41957-2025 tillsynsbegäran.docx", "A 41957-2025")</f>
        <v/>
      </c>
      <c r="Y13">
        <f>HYPERLINK("https://klasma.github.io/Logging_0191/tillsynsmail/A 41957-2025 tillsynsbegäran mail.docx", "A 41957-2025")</f>
        <v/>
      </c>
      <c r="Z13">
        <f>HYPERLINK("https://klasma.github.io/Logging_0191/fåglar/A 41957-2025 prioriterade fågelarter.docx", "A 41957-2025")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46194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22874-2026</t>
        </is>
      </c>
      <c r="B15" s="1" t="n">
        <v>46156</v>
      </c>
      <c r="C15" s="1" t="n">
        <v>46194</v>
      </c>
      <c r="D15" t="inlineStr">
        <is>
          <t>STOCKHOLMS LÄN</t>
        </is>
      </c>
      <c r="E15" t="inlineStr">
        <is>
          <t>SIGTUNA</t>
        </is>
      </c>
      <c r="F15" t="inlineStr">
        <is>
          <t>Kyrkan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Kandelabersvamp
Blåsippa</t>
        </is>
      </c>
      <c r="S15">
        <f>HYPERLINK("https://klasma.github.io/Logging_0191/artfynd/A 22874-2026 artfynd.xlsx", "A 22874-2026")</f>
        <v/>
      </c>
      <c r="T15">
        <f>HYPERLINK("https://klasma.github.io/Logging_0191/kartor/A 22874-2026 karta.png", "A 22874-2026")</f>
        <v/>
      </c>
      <c r="V15">
        <f>HYPERLINK("https://klasma.github.io/Logging_0191/klagomål/A 22874-2026 FSC-klagomål.docx", "A 22874-2026")</f>
        <v/>
      </c>
      <c r="W15">
        <f>HYPERLINK("https://klasma.github.io/Logging_0191/klagomålsmail/A 22874-2026 FSC-klagomål mail.docx", "A 22874-2026")</f>
        <v/>
      </c>
      <c r="X15">
        <f>HYPERLINK("https://klasma.github.io/Logging_0191/tillsyn/A 22874-2026 tillsynsbegäran.docx", "A 22874-2026")</f>
        <v/>
      </c>
      <c r="Y15">
        <f>HYPERLINK("https://klasma.github.io/Logging_0191/tillsynsmail/A 22874-2026 tillsynsbegäran mail.docx", "A 22874-2026")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46194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</row>
    <row r="17" ht="15" customHeight="1">
      <c r="A17" t="inlineStr">
        <is>
          <t>A 46757-2023</t>
        </is>
      </c>
      <c r="B17" s="1" t="n">
        <v>45198</v>
      </c>
      <c r="C17" s="1" t="n">
        <v>46194</v>
      </c>
      <c r="D17" t="inlineStr">
        <is>
          <t>STOCKHOLMS LÄN</t>
        </is>
      </c>
      <c r="E17" t="inlineStr">
        <is>
          <t>SIGTUNA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HYPERLINK("https://klasma.github.io/Logging_0191/artfynd/A 46757-2023 artfynd.xlsx", "A 46757-2023")</f>
        <v/>
      </c>
      <c r="T17">
        <f>HYPERLINK("https://klasma.github.io/Logging_0191/kartor/A 46757-2023 karta.png", "A 46757-2023")</f>
        <v/>
      </c>
      <c r="V17">
        <f>HYPERLINK("https://klasma.github.io/Logging_0191/klagomål/A 46757-2023 FSC-klagomål.docx", "A 46757-2023")</f>
        <v/>
      </c>
      <c r="W17">
        <f>HYPERLINK("https://klasma.github.io/Logging_0191/klagomålsmail/A 46757-2023 FSC-klagomål mail.docx", "A 46757-2023")</f>
        <v/>
      </c>
      <c r="X17">
        <f>HYPERLINK("https://klasma.github.io/Logging_0191/tillsyn/A 46757-2023 tillsynsbegäran.docx", "A 46757-2023")</f>
        <v/>
      </c>
      <c r="Y17">
        <f>HYPERLINK("https://klasma.github.io/Logging_0191/tillsynsmail/A 46757-2023 tillsynsbegäran mail.docx", "A 46757-2023")</f>
        <v/>
      </c>
      <c r="Z17">
        <f>HYPERLINK("https://klasma.github.io/Logging_0191/fåglar/A 46757-2023 prioriterade fågelarter.docx", "A 46757-2023")</f>
        <v/>
      </c>
    </row>
    <row r="18" ht="15" customHeight="1">
      <c r="A18" t="inlineStr">
        <is>
          <t>A 15452-2023</t>
        </is>
      </c>
      <c r="B18" s="1" t="n">
        <v>45020</v>
      </c>
      <c r="C18" s="1" t="n">
        <v>46194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Trana</t>
        </is>
      </c>
      <c r="S18">
        <f>HYPERLINK("https://klasma.github.io/Logging_0191/artfynd/A 15452-2023 artfynd.xlsx", "A 15452-2023")</f>
        <v/>
      </c>
      <c r="T18">
        <f>HYPERLINK("https://klasma.github.io/Logging_0191/kartor/A 15452-2023 karta.png", "A 15452-2023")</f>
        <v/>
      </c>
      <c r="V18">
        <f>HYPERLINK("https://klasma.github.io/Logging_0191/klagomål/A 15452-2023 FSC-klagomål.docx", "A 15452-2023")</f>
        <v/>
      </c>
      <c r="W18">
        <f>HYPERLINK("https://klasma.github.io/Logging_0191/klagomålsmail/A 15452-2023 FSC-klagomål mail.docx", "A 15452-2023")</f>
        <v/>
      </c>
      <c r="X18">
        <f>HYPERLINK("https://klasma.github.io/Logging_0191/tillsyn/A 15452-2023 tillsynsbegäran.docx", "A 15452-2023")</f>
        <v/>
      </c>
      <c r="Y18">
        <f>HYPERLINK("https://klasma.github.io/Logging_0191/tillsynsmail/A 15452-2023 tillsynsbegäran mail.docx", "A 15452-2023")</f>
        <v/>
      </c>
      <c r="Z18">
        <f>HYPERLINK("https://klasma.github.io/Logging_0191/fåglar/A 15452-2023 prioriterade fågelarter.docx", "A 15452-2023")</f>
        <v/>
      </c>
    </row>
    <row r="19" ht="15" customHeight="1">
      <c r="A19" t="inlineStr">
        <is>
          <t>A 33751-2024</t>
        </is>
      </c>
      <c r="B19" s="1" t="n">
        <v>45520</v>
      </c>
      <c r="C19" s="1" t="n">
        <v>46194</v>
      </c>
      <c r="D19" t="inlineStr">
        <is>
          <t>STOCKHOLMS LÄN</t>
        </is>
      </c>
      <c r="E19" t="inlineStr">
        <is>
          <t>SIGTUNA</t>
        </is>
      </c>
      <c r="F19" t="inlineStr">
        <is>
          <t>Allmännings- och besparingsskogar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HYPERLINK("https://klasma.github.io/Logging_0191/artfynd/A 33751-2024 artfynd.xlsx", "A 33751-2024")</f>
        <v/>
      </c>
      <c r="T19">
        <f>HYPERLINK("https://klasma.github.io/Logging_0191/kartor/A 33751-2024 karta.png", "A 33751-2024")</f>
        <v/>
      </c>
      <c r="V19">
        <f>HYPERLINK("https://klasma.github.io/Logging_0191/klagomål/A 33751-2024 FSC-klagomål.docx", "A 33751-2024")</f>
        <v/>
      </c>
      <c r="W19">
        <f>HYPERLINK("https://klasma.github.io/Logging_0191/klagomålsmail/A 33751-2024 FSC-klagomål mail.docx", "A 33751-2024")</f>
        <v/>
      </c>
      <c r="X19">
        <f>HYPERLINK("https://klasma.github.io/Logging_0191/tillsyn/A 33751-2024 tillsynsbegäran.docx", "A 33751-2024")</f>
        <v/>
      </c>
      <c r="Y19">
        <f>HYPERLINK("https://klasma.github.io/Logging_0191/tillsynsmail/A 33751-2024 tillsynsbegäran mail.docx", "A 33751-2024")</f>
        <v/>
      </c>
      <c r="Z19">
        <f>HYPERLINK("https://klasma.github.io/Logging_0191/fåglar/A 33751-2024 prioriterade fågelarter.docx", "A 33751-2024")</f>
        <v/>
      </c>
    </row>
    <row r="20" ht="15" customHeight="1">
      <c r="A20" t="inlineStr">
        <is>
          <t>A 39716-2023</t>
        </is>
      </c>
      <c r="B20" s="1" t="n">
        <v>45166</v>
      </c>
      <c r="C20" s="1" t="n">
        <v>46194</v>
      </c>
      <c r="D20" t="inlineStr">
        <is>
          <t>STOCKHOLMS LÄN</t>
        </is>
      </c>
      <c r="E20" t="inlineStr">
        <is>
          <t>SIGTUNA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Hornuggla</t>
        </is>
      </c>
      <c r="S20">
        <f>HYPERLINK("https://klasma.github.io/Logging_0191/artfynd/A 39716-2023 artfynd.xlsx", "A 39716-2023")</f>
        <v/>
      </c>
      <c r="T20">
        <f>HYPERLINK("https://klasma.github.io/Logging_0191/kartor/A 39716-2023 karta.png", "A 39716-2023")</f>
        <v/>
      </c>
      <c r="V20">
        <f>HYPERLINK("https://klasma.github.io/Logging_0191/klagomål/A 39716-2023 FSC-klagomål.docx", "A 39716-2023")</f>
        <v/>
      </c>
      <c r="W20">
        <f>HYPERLINK("https://klasma.github.io/Logging_0191/klagomålsmail/A 39716-2023 FSC-klagomål mail.docx", "A 39716-2023")</f>
        <v/>
      </c>
      <c r="X20">
        <f>HYPERLINK("https://klasma.github.io/Logging_0191/tillsyn/A 39716-2023 tillsynsbegäran.docx", "A 39716-2023")</f>
        <v/>
      </c>
      <c r="Y20">
        <f>HYPERLINK("https://klasma.github.io/Logging_0191/tillsynsmail/A 39716-2023 tillsynsbegäran mail.docx", "A 39716-2023")</f>
        <v/>
      </c>
      <c r="Z20">
        <f>HYPERLINK("https://klasma.github.io/Logging_0191/fåglar/A 39716-2023 prioriterade fågelarter.docx", "A 39716-2023")</f>
        <v/>
      </c>
    </row>
    <row r="21" ht="15" customHeight="1">
      <c r="A21" t="inlineStr">
        <is>
          <t>A 6893-2026</t>
        </is>
      </c>
      <c r="B21" s="1" t="n">
        <v>46057</v>
      </c>
      <c r="C21" s="1" t="n">
        <v>46194</v>
      </c>
      <c r="D21" t="inlineStr">
        <is>
          <t>STOCKHOLMS LÄN</t>
        </is>
      </c>
      <c r="E21" t="inlineStr">
        <is>
          <t>SIGTUNA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HYPERLINK("https://klasma.github.io/Logging_0191/artfynd/A 6893-2026 artfynd.xlsx", "A 6893-2026")</f>
        <v/>
      </c>
      <c r="T21">
        <f>HYPERLINK("https://klasma.github.io/Logging_0191/kartor/A 6893-2026 karta.png", "A 6893-2026")</f>
        <v/>
      </c>
      <c r="V21">
        <f>HYPERLINK("https://klasma.github.io/Logging_0191/klagomål/A 6893-2026 FSC-klagomål.docx", "A 6893-2026")</f>
        <v/>
      </c>
      <c r="W21">
        <f>HYPERLINK("https://klasma.github.io/Logging_0191/klagomålsmail/A 6893-2026 FSC-klagomål mail.docx", "A 6893-2026")</f>
        <v/>
      </c>
      <c r="X21">
        <f>HYPERLINK("https://klasma.github.io/Logging_0191/tillsyn/A 6893-2026 tillsynsbegäran.docx", "A 6893-2026")</f>
        <v/>
      </c>
      <c r="Y21">
        <f>HYPERLINK("https://klasma.github.io/Logging_0191/tillsynsmail/A 6893-2026 tillsynsbegäran mail.docx", "A 6893-2026")</f>
        <v/>
      </c>
    </row>
    <row r="22" ht="15" customHeight="1">
      <c r="A22" t="inlineStr">
        <is>
          <t>A 9750-2022</t>
        </is>
      </c>
      <c r="B22" s="1" t="n">
        <v>44618</v>
      </c>
      <c r="C22" s="1" t="n">
        <v>46194</v>
      </c>
      <c r="D22" t="inlineStr">
        <is>
          <t>STOCKHOLMS LÄN</t>
        </is>
      </c>
      <c r="E22" t="inlineStr">
        <is>
          <t>SIGTUNA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53462-2021</t>
        </is>
      </c>
      <c r="B23" s="1" t="n">
        <v>44468</v>
      </c>
      <c r="C23" s="1" t="n">
        <v>46194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46194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46194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46194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46194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41702-2023</t>
        </is>
      </c>
      <c r="B28" s="1" t="n">
        <v>45176</v>
      </c>
      <c r="C28" s="1" t="n">
        <v>46194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11285-2023</t>
        </is>
      </c>
      <c r="B29" s="1" t="n">
        <v>44992</v>
      </c>
      <c r="C29" s="1" t="n">
        <v>46194</v>
      </c>
      <c r="D29" t="inlineStr">
        <is>
          <t>STOCKHOLMS LÄN</t>
        </is>
      </c>
      <c r="E29" t="inlineStr">
        <is>
          <t>SIGTUNA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60922-2023</t>
        </is>
      </c>
      <c r="B30" s="1" t="n">
        <v>45261</v>
      </c>
      <c r="C30" s="1" t="n">
        <v>46194</v>
      </c>
      <c r="D30" t="inlineStr">
        <is>
          <t>STOCKHOLMS LÄN</t>
        </is>
      </c>
      <c r="E30" t="inlineStr">
        <is>
          <t>SIGTUNA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38276-2023</t>
        </is>
      </c>
      <c r="B31" s="1" t="n">
        <v>45160</v>
      </c>
      <c r="C31" s="1" t="n">
        <v>46194</v>
      </c>
      <c r="D31" t="inlineStr">
        <is>
          <t>STOCKHOLMS LÄN</t>
        </is>
      </c>
      <c r="E31" t="inlineStr">
        <is>
          <t>SIGTUNA</t>
        </is>
      </c>
      <c r="G31" t="n">
        <v>18.1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45233-2024</t>
        </is>
      </c>
      <c r="B32" s="1" t="n">
        <v>45575</v>
      </c>
      <c r="C32" s="1" t="n">
        <v>46194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20375-2023</t>
        </is>
      </c>
      <c r="B33" s="1" t="n">
        <v>45054</v>
      </c>
      <c r="C33" s="1" t="n">
        <v>46194</v>
      </c>
      <c r="D33" t="inlineStr">
        <is>
          <t>STOCKHOLMS LÄN</t>
        </is>
      </c>
      <c r="E33" t="inlineStr">
        <is>
          <t>SIGTUNA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55112-2021</t>
        </is>
      </c>
      <c r="B34" s="1" t="n">
        <v>44474</v>
      </c>
      <c r="C34" s="1" t="n">
        <v>46194</v>
      </c>
      <c r="D34" t="inlineStr">
        <is>
          <t>STOCKHOLMS LÄN</t>
        </is>
      </c>
      <c r="E34" t="inlineStr">
        <is>
          <t>SIGTUNA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12931-2022</t>
        </is>
      </c>
      <c r="B35" s="1" t="n">
        <v>44642</v>
      </c>
      <c r="C35" s="1" t="n">
        <v>46194</v>
      </c>
      <c r="D35" t="inlineStr">
        <is>
          <t>STOCKHOLMS LÄN</t>
        </is>
      </c>
      <c r="E35" t="inlineStr">
        <is>
          <t>SIGTUNA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51770-2023</t>
        </is>
      </c>
      <c r="B36" s="1" t="n">
        <v>45222</v>
      </c>
      <c r="C36" s="1" t="n">
        <v>46194</v>
      </c>
      <c r="D36" t="inlineStr">
        <is>
          <t>STOCKHOLMS LÄN</t>
        </is>
      </c>
      <c r="E36" t="inlineStr">
        <is>
          <t>SIGTUNA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59165-2022</t>
        </is>
      </c>
      <c r="B37" s="1" t="n">
        <v>44904</v>
      </c>
      <c r="C37" s="1" t="n">
        <v>46194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58619-2023</t>
        </is>
      </c>
      <c r="B38" s="1" t="n">
        <v>45251</v>
      </c>
      <c r="C38" s="1" t="n">
        <v>46194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49592-2023</t>
        </is>
      </c>
      <c r="B39" s="1" t="n">
        <v>45211</v>
      </c>
      <c r="C39" s="1" t="n">
        <v>46194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41693-2022</t>
        </is>
      </c>
      <c r="B40" s="1" t="n">
        <v>44827</v>
      </c>
      <c r="C40" s="1" t="n">
        <v>46194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20960-2023</t>
        </is>
      </c>
      <c r="B41" s="1" t="n">
        <v>45061</v>
      </c>
      <c r="C41" s="1" t="n">
        <v>46194</v>
      </c>
      <c r="D41" t="inlineStr">
        <is>
          <t>STOCKHOLMS LÄN</t>
        </is>
      </c>
      <c r="E41" t="inlineStr">
        <is>
          <t>SIGTUNA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28851-2022</t>
        </is>
      </c>
      <c r="B42" s="1" t="n">
        <v>44749</v>
      </c>
      <c r="C42" s="1" t="n">
        <v>46194</v>
      </c>
      <c r="D42" t="inlineStr">
        <is>
          <t>STOCKHOLMS LÄN</t>
        </is>
      </c>
      <c r="E42" t="inlineStr">
        <is>
          <t>SIGTUNA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5142-2024</t>
        </is>
      </c>
      <c r="B43" s="1" t="n">
        <v>45330</v>
      </c>
      <c r="C43" s="1" t="n">
        <v>46194</v>
      </c>
      <c r="D43" t="inlineStr">
        <is>
          <t>STOCKHOLMS LÄN</t>
        </is>
      </c>
      <c r="E43" t="inlineStr">
        <is>
          <t>SIGTUNA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37392-2024</t>
        </is>
      </c>
      <c r="B44" s="1" t="n">
        <v>45540</v>
      </c>
      <c r="C44" s="1" t="n">
        <v>46194</v>
      </c>
      <c r="D44" t="inlineStr">
        <is>
          <t>STOCKHOLMS LÄN</t>
        </is>
      </c>
      <c r="E44" t="inlineStr">
        <is>
          <t>SIGTUNA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38465-2023</t>
        </is>
      </c>
      <c r="B45" s="1" t="n">
        <v>45162</v>
      </c>
      <c r="C45" s="1" t="n">
        <v>46194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31684-2022</t>
        </is>
      </c>
      <c r="B46" s="1" t="n">
        <v>44776</v>
      </c>
      <c r="C46" s="1" t="n">
        <v>46194</v>
      </c>
      <c r="D46" t="inlineStr">
        <is>
          <t>STOCKHOLMS LÄN</t>
        </is>
      </c>
      <c r="E46" t="inlineStr">
        <is>
          <t>SIGTUNA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42572-2024</t>
        </is>
      </c>
      <c r="B47" s="1" t="n">
        <v>45565</v>
      </c>
      <c r="C47" s="1" t="n">
        <v>46194</v>
      </c>
      <c r="D47" t="inlineStr">
        <is>
          <t>STOCKHOLMS LÄN</t>
        </is>
      </c>
      <c r="E47" t="inlineStr">
        <is>
          <t>SIGTUNA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59168-2022</t>
        </is>
      </c>
      <c r="B48" s="1" t="n">
        <v>44904</v>
      </c>
      <c r="C48" s="1" t="n">
        <v>46194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56796-2022</t>
        </is>
      </c>
      <c r="B49" s="1" t="n">
        <v>44894</v>
      </c>
      <c r="C49" s="1" t="n">
        <v>46194</v>
      </c>
      <c r="D49" t="inlineStr">
        <is>
          <t>STOCKHOLMS LÄN</t>
        </is>
      </c>
      <c r="E49" t="inlineStr">
        <is>
          <t>SIGTUNA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60865-2024</t>
        </is>
      </c>
      <c r="B50" s="1" t="n">
        <v>45644</v>
      </c>
      <c r="C50" s="1" t="n">
        <v>46194</v>
      </c>
      <c r="D50" t="inlineStr">
        <is>
          <t>STOCKHOLMS LÄN</t>
        </is>
      </c>
      <c r="E50" t="inlineStr">
        <is>
          <t>SIGTUNA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9120-2025</t>
        </is>
      </c>
      <c r="B51" s="1" t="n">
        <v>45713</v>
      </c>
      <c r="C51" s="1" t="n">
        <v>46194</v>
      </c>
      <c r="D51" t="inlineStr">
        <is>
          <t>STOCKHOLMS LÄN</t>
        </is>
      </c>
      <c r="E51" t="inlineStr">
        <is>
          <t>SIGTUNA</t>
        </is>
      </c>
      <c r="F51" t="inlineStr">
        <is>
          <t>Allmännings- och besparingsskogar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32420-2023</t>
        </is>
      </c>
      <c r="B52" s="1" t="n">
        <v>45110</v>
      </c>
      <c r="C52" s="1" t="n">
        <v>46194</v>
      </c>
      <c r="D52" t="inlineStr">
        <is>
          <t>STOCKHOLMS LÄN</t>
        </is>
      </c>
      <c r="E52" t="inlineStr">
        <is>
          <t>SIGTUNA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32426-2023</t>
        </is>
      </c>
      <c r="B53" s="1" t="n">
        <v>45110</v>
      </c>
      <c r="C53" s="1" t="n">
        <v>46194</v>
      </c>
      <c r="D53" t="inlineStr">
        <is>
          <t>STOCKHOLMS LÄN</t>
        </is>
      </c>
      <c r="E53" t="inlineStr">
        <is>
          <t>SIGTUNA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24967-2024</t>
        </is>
      </c>
      <c r="B54" s="1" t="n">
        <v>45461</v>
      </c>
      <c r="C54" s="1" t="n">
        <v>46194</v>
      </c>
      <c r="D54" t="inlineStr">
        <is>
          <t>STOCKHOLMS LÄN</t>
        </is>
      </c>
      <c r="E54" t="inlineStr">
        <is>
          <t>SIGTUNA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10790-2023</t>
        </is>
      </c>
      <c r="B55" s="1" t="n">
        <v>44989</v>
      </c>
      <c r="C55" s="1" t="n">
        <v>46194</v>
      </c>
      <c r="D55" t="inlineStr">
        <is>
          <t>STOCKHOLMS LÄN</t>
        </is>
      </c>
      <c r="E55" t="inlineStr">
        <is>
          <t>SIGTUNA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41949-2025</t>
        </is>
      </c>
      <c r="B56" s="1" t="n">
        <v>45903</v>
      </c>
      <c r="C56" s="1" t="n">
        <v>46194</v>
      </c>
      <c r="D56" t="inlineStr">
        <is>
          <t>STOCKHOLMS LÄN</t>
        </is>
      </c>
      <c r="E56" t="inlineStr">
        <is>
          <t>SIGTUNA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25452-2023</t>
        </is>
      </c>
      <c r="B57" s="1" t="n">
        <v>45089</v>
      </c>
      <c r="C57" s="1" t="n">
        <v>46194</v>
      </c>
      <c r="D57" t="inlineStr">
        <is>
          <t>STOCKHOLMS LÄN</t>
        </is>
      </c>
      <c r="E57" t="inlineStr">
        <is>
          <t>SIGTUNA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25459-2023</t>
        </is>
      </c>
      <c r="B58" s="1" t="n">
        <v>45089</v>
      </c>
      <c r="C58" s="1" t="n">
        <v>46194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61937-2021</t>
        </is>
      </c>
      <c r="B59" s="1" t="n">
        <v>44502</v>
      </c>
      <c r="C59" s="1" t="n">
        <v>46194</v>
      </c>
      <c r="D59" t="inlineStr">
        <is>
          <t>STOCKHOLMS LÄN</t>
        </is>
      </c>
      <c r="E59" t="inlineStr">
        <is>
          <t>SIGTUNA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43158-2024</t>
        </is>
      </c>
      <c r="B60" s="1" t="n">
        <v>45567</v>
      </c>
      <c r="C60" s="1" t="n">
        <v>46194</v>
      </c>
      <c r="D60" t="inlineStr">
        <is>
          <t>STOCKHOLMS LÄN</t>
        </is>
      </c>
      <c r="E60" t="inlineStr">
        <is>
          <t>SIGTUNA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24946-2024</t>
        </is>
      </c>
      <c r="B61" s="1" t="n">
        <v>45461</v>
      </c>
      <c r="C61" s="1" t="n">
        <v>46194</v>
      </c>
      <c r="D61" t="inlineStr">
        <is>
          <t>STOCKHOLMS LÄN</t>
        </is>
      </c>
      <c r="E61" t="inlineStr">
        <is>
          <t>SIGTUNA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3890-2025</t>
        </is>
      </c>
      <c r="B62" s="1" t="n">
        <v>45684</v>
      </c>
      <c r="C62" s="1" t="n">
        <v>46194</v>
      </c>
      <c r="D62" t="inlineStr">
        <is>
          <t>STOCKHOLMS LÄN</t>
        </is>
      </c>
      <c r="E62" t="inlineStr">
        <is>
          <t>SIGTUNA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21513-2025</t>
        </is>
      </c>
      <c r="B63" s="1" t="n">
        <v>45782</v>
      </c>
      <c r="C63" s="1" t="n">
        <v>46194</v>
      </c>
      <c r="D63" t="inlineStr">
        <is>
          <t>STOCKHOLMS LÄN</t>
        </is>
      </c>
      <c r="E63" t="inlineStr">
        <is>
          <t>SIGTUNA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47392-2025</t>
        </is>
      </c>
      <c r="B64" s="1" t="n">
        <v>45930</v>
      </c>
      <c r="C64" s="1" t="n">
        <v>46194</v>
      </c>
      <c r="D64" t="inlineStr">
        <is>
          <t>STOCKHOLMS LÄN</t>
        </is>
      </c>
      <c r="E64" t="inlineStr">
        <is>
          <t>SIGTUNA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48375-2024</t>
        </is>
      </c>
      <c r="B65" s="1" t="n">
        <v>45590</v>
      </c>
      <c r="C65" s="1" t="n">
        <v>46194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22402-2025</t>
        </is>
      </c>
      <c r="B66" s="1" t="n">
        <v>45786</v>
      </c>
      <c r="C66" s="1" t="n">
        <v>46194</v>
      </c>
      <c r="D66" t="inlineStr">
        <is>
          <t>STOCKHOLMS LÄN</t>
        </is>
      </c>
      <c r="E66" t="inlineStr">
        <is>
          <t>SIGTUNA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35961-2024</t>
        </is>
      </c>
      <c r="B67" s="1" t="n">
        <v>45533</v>
      </c>
      <c r="C67" s="1" t="n">
        <v>46194</v>
      </c>
      <c r="D67" t="inlineStr">
        <is>
          <t>STOCKHOLMS LÄN</t>
        </is>
      </c>
      <c r="E67" t="inlineStr">
        <is>
          <t>SIGTUNA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19031-2024</t>
        </is>
      </c>
      <c r="B68" s="1" t="n">
        <v>45427</v>
      </c>
      <c r="C68" s="1" t="n">
        <v>46194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49916-2025</t>
        </is>
      </c>
      <c r="B69" s="1" t="n">
        <v>45940</v>
      </c>
      <c r="C69" s="1" t="n">
        <v>46194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24105-2025</t>
        </is>
      </c>
      <c r="B70" s="1" t="n">
        <v>45796</v>
      </c>
      <c r="C70" s="1" t="n">
        <v>46194</v>
      </c>
      <c r="D70" t="inlineStr">
        <is>
          <t>STOCKHOLMS LÄN</t>
        </is>
      </c>
      <c r="E70" t="inlineStr">
        <is>
          <t>SIGTUNA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60935-2023</t>
        </is>
      </c>
      <c r="B71" s="1" t="n">
        <v>45261</v>
      </c>
      <c r="C71" s="1" t="n">
        <v>46194</v>
      </c>
      <c r="D71" t="inlineStr">
        <is>
          <t>STOCKHOLMS LÄN</t>
        </is>
      </c>
      <c r="E71" t="inlineStr">
        <is>
          <t>SIGTUNA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60934-2023</t>
        </is>
      </c>
      <c r="B72" s="1" t="n">
        <v>45261</v>
      </c>
      <c r="C72" s="1" t="n">
        <v>46194</v>
      </c>
      <c r="D72" t="inlineStr">
        <is>
          <t>STOCKHOLMS LÄN</t>
        </is>
      </c>
      <c r="E72" t="inlineStr">
        <is>
          <t>SIGTUNA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20957-2023</t>
        </is>
      </c>
      <c r="B73" s="1" t="n">
        <v>45061</v>
      </c>
      <c r="C73" s="1" t="n">
        <v>46194</v>
      </c>
      <c r="D73" t="inlineStr">
        <is>
          <t>STOCKHOLMS LÄN</t>
        </is>
      </c>
      <c r="E73" t="inlineStr">
        <is>
          <t>SIGTUNA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32424-2023</t>
        </is>
      </c>
      <c r="B74" s="1" t="n">
        <v>45110</v>
      </c>
      <c r="C74" s="1" t="n">
        <v>46194</v>
      </c>
      <c r="D74" t="inlineStr">
        <is>
          <t>STOCKHOLMS LÄN</t>
        </is>
      </c>
      <c r="E74" t="inlineStr">
        <is>
          <t>SIGTUNA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9856-2024</t>
        </is>
      </c>
      <c r="B75" s="1" t="n">
        <v>45363</v>
      </c>
      <c r="C75" s="1" t="n">
        <v>46194</v>
      </c>
      <c r="D75" t="inlineStr">
        <is>
          <t>STOCKHOLMS LÄN</t>
        </is>
      </c>
      <c r="E75" t="inlineStr">
        <is>
          <t>SIGTUNA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43700-2023</t>
        </is>
      </c>
      <c r="B76" s="1" t="n">
        <v>45187</v>
      </c>
      <c r="C76" s="1" t="n">
        <v>46194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72530-2021</t>
        </is>
      </c>
      <c r="B77" s="1" t="n">
        <v>44546</v>
      </c>
      <c r="C77" s="1" t="n">
        <v>46194</v>
      </c>
      <c r="D77" t="inlineStr">
        <is>
          <t>STOCKHOLMS LÄN</t>
        </is>
      </c>
      <c r="E77" t="inlineStr">
        <is>
          <t>SIGTUNA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29193-2025</t>
        </is>
      </c>
      <c r="B78" s="1" t="n">
        <v>45822</v>
      </c>
      <c r="C78" s="1" t="n">
        <v>46194</v>
      </c>
      <c r="D78" t="inlineStr">
        <is>
          <t>STOCKHOLMS LÄN</t>
        </is>
      </c>
      <c r="E78" t="inlineStr">
        <is>
          <t>SIGTUNA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74170-2021</t>
        </is>
      </c>
      <c r="B79" s="1" t="n">
        <v>44557</v>
      </c>
      <c r="C79" s="1" t="n">
        <v>46194</v>
      </c>
      <c r="D79" t="inlineStr">
        <is>
          <t>STOCKHOLMS LÄN</t>
        </is>
      </c>
      <c r="E79" t="inlineStr">
        <is>
          <t>SIGTUNA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17320-2023</t>
        </is>
      </c>
      <c r="B80" s="1" t="n">
        <v>45035</v>
      </c>
      <c r="C80" s="1" t="n">
        <v>46194</v>
      </c>
      <c r="D80" t="inlineStr">
        <is>
          <t>STOCKHOLMS LÄN</t>
        </is>
      </c>
      <c r="E80" t="inlineStr">
        <is>
          <t>SIGTUNA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7214-2022</t>
        </is>
      </c>
      <c r="B81" s="1" t="n">
        <v>44606</v>
      </c>
      <c r="C81" s="1" t="n">
        <v>46194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46194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19288-2025</t>
        </is>
      </c>
      <c r="B83" s="1" t="n">
        <v>45769</v>
      </c>
      <c r="C83" s="1" t="n">
        <v>46194</v>
      </c>
      <c r="D83" t="inlineStr">
        <is>
          <t>STOCKHOLMS LÄN</t>
        </is>
      </c>
      <c r="E83" t="inlineStr">
        <is>
          <t>SIGTUNA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28681-2025</t>
        </is>
      </c>
      <c r="B84" s="1" t="n">
        <v>45819</v>
      </c>
      <c r="C84" s="1" t="n">
        <v>46194</v>
      </c>
      <c r="D84" t="inlineStr">
        <is>
          <t>STOCKHOLMS LÄN</t>
        </is>
      </c>
      <c r="E84" t="inlineStr">
        <is>
          <t>SIGTUNA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46194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28752-2024</t>
        </is>
      </c>
      <c r="B86" s="1" t="n">
        <v>45478</v>
      </c>
      <c r="C86" s="1" t="n">
        <v>46194</v>
      </c>
      <c r="D86" t="inlineStr">
        <is>
          <t>STOCKHOLMS LÄN</t>
        </is>
      </c>
      <c r="E86" t="inlineStr">
        <is>
          <t>SIGTUNA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60969-2025</t>
        </is>
      </c>
      <c r="B87" s="1" t="n">
        <v>45996</v>
      </c>
      <c r="C87" s="1" t="n">
        <v>46194</v>
      </c>
      <c r="D87" t="inlineStr">
        <is>
          <t>STOCKHOLMS LÄN</t>
        </is>
      </c>
      <c r="E87" t="inlineStr">
        <is>
          <t>SIGTUNA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862-2022</t>
        </is>
      </c>
      <c r="B88" s="1" t="n">
        <v>44571</v>
      </c>
      <c r="C88" s="1" t="n">
        <v>46194</v>
      </c>
      <c r="D88" t="inlineStr">
        <is>
          <t>STOCKHOLMS LÄN</t>
        </is>
      </c>
      <c r="E88" t="inlineStr">
        <is>
          <t>SIGTUNA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60949-2025</t>
        </is>
      </c>
      <c r="B89" s="1" t="n">
        <v>45996</v>
      </c>
      <c r="C89" s="1" t="n">
        <v>46194</v>
      </c>
      <c r="D89" t="inlineStr">
        <is>
          <t>STOCKHOLMS LÄN</t>
        </is>
      </c>
      <c r="E89" t="inlineStr">
        <is>
          <t>SIGTUNA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24636-2023</t>
        </is>
      </c>
      <c r="B90" s="1" t="n">
        <v>45084</v>
      </c>
      <c r="C90" s="1" t="n">
        <v>46194</v>
      </c>
      <c r="D90" t="inlineStr">
        <is>
          <t>STOCKHOLMS LÄN</t>
        </is>
      </c>
      <c r="E90" t="inlineStr">
        <is>
          <t>SIGTUNA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273-2025</t>
        </is>
      </c>
      <c r="B91" s="1" t="n">
        <v>45653</v>
      </c>
      <c r="C91" s="1" t="n">
        <v>46194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31695-2022</t>
        </is>
      </c>
      <c r="B92" s="1" t="n">
        <v>44776</v>
      </c>
      <c r="C92" s="1" t="n">
        <v>46194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3673-2026</t>
        </is>
      </c>
      <c r="B93" s="1" t="n">
        <v>46043</v>
      </c>
      <c r="C93" s="1" t="n">
        <v>46194</v>
      </c>
      <c r="D93" t="inlineStr">
        <is>
          <t>STOCKHOLMS LÄN</t>
        </is>
      </c>
      <c r="E93" t="inlineStr">
        <is>
          <t>SIGTUNA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4788-2026</t>
        </is>
      </c>
      <c r="B94" s="1" t="n">
        <v>46048</v>
      </c>
      <c r="C94" s="1" t="n">
        <v>46194</v>
      </c>
      <c r="D94" t="inlineStr">
        <is>
          <t>STOCKHOLMS LÄN</t>
        </is>
      </c>
      <c r="E94" t="inlineStr">
        <is>
          <t>SIGTUNA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5175-2026</t>
        </is>
      </c>
      <c r="B95" s="1" t="n">
        <v>46049</v>
      </c>
      <c r="C95" s="1" t="n">
        <v>46194</v>
      </c>
      <c r="D95" t="inlineStr">
        <is>
          <t>STOCKHOLMS LÄN</t>
        </is>
      </c>
      <c r="E95" t="inlineStr">
        <is>
          <t>SIGTUNA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7229-2026</t>
        </is>
      </c>
      <c r="B96" s="1" t="n">
        <v>46058</v>
      </c>
      <c r="C96" s="1" t="n">
        <v>46194</v>
      </c>
      <c r="D96" t="inlineStr">
        <is>
          <t>STOCKHOLMS LÄN</t>
        </is>
      </c>
      <c r="E96" t="inlineStr">
        <is>
          <t>SIGTUNA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7833-2026</t>
        </is>
      </c>
      <c r="B97" s="1" t="n">
        <v>46062</v>
      </c>
      <c r="C97" s="1" t="n">
        <v>46194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59957-2023</t>
        </is>
      </c>
      <c r="B98" s="1" t="n">
        <v>45257</v>
      </c>
      <c r="C98" s="1" t="n">
        <v>46194</v>
      </c>
      <c r="D98" t="inlineStr">
        <is>
          <t>STOCKHOLMS LÄN</t>
        </is>
      </c>
      <c r="E98" t="inlineStr">
        <is>
          <t>SIGTUNA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2496-2024</t>
        </is>
      </c>
      <c r="B99" s="1" t="n">
        <v>45313</v>
      </c>
      <c r="C99" s="1" t="n">
        <v>46194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35966-2024</t>
        </is>
      </c>
      <c r="B100" s="1" t="n">
        <v>45533</v>
      </c>
      <c r="C100" s="1" t="n">
        <v>46194</v>
      </c>
      <c r="D100" t="inlineStr">
        <is>
          <t>STOCKHOLMS LÄN</t>
        </is>
      </c>
      <c r="E100" t="inlineStr">
        <is>
          <t>SIGTUNA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36179-2022</t>
        </is>
      </c>
      <c r="B101" s="1" t="n">
        <v>44803</v>
      </c>
      <c r="C101" s="1" t="n">
        <v>46194</v>
      </c>
      <c r="D101" t="inlineStr">
        <is>
          <t>STOCKHOLMS LÄN</t>
        </is>
      </c>
      <c r="E101" t="inlineStr">
        <is>
          <t>SIGTUNA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46194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6826-2025</t>
        </is>
      </c>
      <c r="B103" s="1" t="n">
        <v>45700</v>
      </c>
      <c r="C103" s="1" t="n">
        <v>46194</v>
      </c>
      <c r="D103" t="inlineStr">
        <is>
          <t>STOCKHOLMS LÄN</t>
        </is>
      </c>
      <c r="E103" t="inlineStr">
        <is>
          <t>SIGTUNA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12052-2026</t>
        </is>
      </c>
      <c r="B104" s="1" t="n">
        <v>46086</v>
      </c>
      <c r="C104" s="1" t="n">
        <v>46194</v>
      </c>
      <c r="D104" t="inlineStr">
        <is>
          <t>STOCKHOLMS LÄN</t>
        </is>
      </c>
      <c r="E104" t="inlineStr">
        <is>
          <t>SIGTUNA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13662-2026</t>
        </is>
      </c>
      <c r="B105" s="1" t="n">
        <v>46097</v>
      </c>
      <c r="C105" s="1" t="n">
        <v>46194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22913-2026</t>
        </is>
      </c>
      <c r="B106" s="1" t="n">
        <v>46159</v>
      </c>
      <c r="C106" s="1" t="n">
        <v>46194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2026-06-21T00:45:14Z</dcterms:created>
  <dcterms:modified xmlns:dcterms="http://purl.org/dc/terms/" xmlns:xsi="http://www.w3.org/2001/XMLSchema-instance" xsi:type="dcterms:W3CDTF">2026-06-21T00:45:14Z</dcterms:modified>
</cp:coreProperties>
</file>
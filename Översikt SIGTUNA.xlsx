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46269</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46269</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46269</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46269</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46269</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46269</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46269</v>
      </c>
      <c r="F9" t="inlineStr">
        <is>
          <t>STOCKHOLMS LÄN</t>
        </is>
      </c>
      <c r="G9" t="inlineStr">
        <is>
          <t>SIGTUNA</t>
        </is>
      </c>
      <c r="I9" t="n">
        <v>8.9</v>
      </c>
      <c r="J9" t="n">
        <v>3</v>
      </c>
      <c r="K9" t="n">
        <v>0</v>
      </c>
      <c r="L9" t="n">
        <v>1</v>
      </c>
      <c r="M9" t="n">
        <v>0</v>
      </c>
      <c r="N9" t="n">
        <v>0</v>
      </c>
      <c r="O9" t="n">
        <v>0</v>
      </c>
      <c r="P9" t="n">
        <v>0</v>
      </c>
      <c r="Q9" t="n">
        <v>1</v>
      </c>
      <c r="R9" t="n">
        <v>0</v>
      </c>
      <c r="S9" t="n">
        <v>4</v>
      </c>
      <c r="T9" t="n">
        <v>4</v>
      </c>
      <c r="U9" t="n">
        <v>2</v>
      </c>
      <c r="V9" s="2" t="inlineStr">
        <is>
          <t>Slåtterfibbla
Spillkråka
Trädlärka
Nattviol</t>
        </is>
      </c>
      <c r="W9">
        <f>HYPERLINK("https://klasma.github.io/Logging_0191/artfynd/A 22400-2025 artfynd.xlsx", "A 22400-2025")</f>
        <v/>
      </c>
      <c r="X9">
        <f>HYPERLINK("https://klasma.github.io/Logging_0191/kartor/A 22400-2025 karta.png", "A 22400-2025")</f>
        <v/>
      </c>
      <c r="Y9">
        <f>HYPERLINK("https://klasma.github.io/Logging_0191/kartor_geotiff/A 22400-2025 georefererad karta.tif", "A 22400-2025")</f>
        <v/>
      </c>
      <c r="AA9">
        <f>HYPERLINK("https://klasma.github.io/Logging_0191/klagomål/A 22400-2025 FSC-klagomål.docx", "A 22400-2025")</f>
        <v/>
      </c>
      <c r="AB9">
        <f>HYPERLINK("https://klasma.github.io/Logging_0191/klagomålsmail/A 22400-2025 FSC-klagomål mail.docx", "A 22400-2025")</f>
        <v/>
      </c>
      <c r="AC9">
        <f>HYPERLINK("https://klasma.github.io/Logging_0191/tillsyn/A 22400-2025 tillsynsbegäran.docx", "A 22400-2025")</f>
        <v/>
      </c>
      <c r="AD9">
        <f>HYPERLINK("https://klasma.github.io/Logging_0191/tillsynsmail/A 22400-2025 tillsynsbegäran mail.docx", "A 22400-2025")</f>
        <v/>
      </c>
      <c r="AE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46269</v>
      </c>
      <c r="F10" t="inlineStr">
        <is>
          <t>STOCKHOLMS LÄN</t>
        </is>
      </c>
      <c r="G10" t="inlineStr">
        <is>
          <t>SIGTUNA</t>
        </is>
      </c>
      <c r="I10" t="n">
        <v>32.8</v>
      </c>
      <c r="J10" t="n">
        <v>3</v>
      </c>
      <c r="K10" t="n">
        <v>0</v>
      </c>
      <c r="L10" t="n">
        <v>1</v>
      </c>
      <c r="M10" t="n">
        <v>0</v>
      </c>
      <c r="N10" t="n">
        <v>0</v>
      </c>
      <c r="O10" t="n">
        <v>0</v>
      </c>
      <c r="P10" t="n">
        <v>0</v>
      </c>
      <c r="Q10" t="n">
        <v>1</v>
      </c>
      <c r="R10" t="n">
        <v>0</v>
      </c>
      <c r="S10" t="n">
        <v>4</v>
      </c>
      <c r="T10" t="n">
        <v>41</v>
      </c>
      <c r="U10" t="n">
        <v>41</v>
      </c>
      <c r="V10" s="2" t="inlineStr">
        <is>
          <t>Vedskivlav
Större vattensalamander
Åkergroda
Mindre vattensalamander</t>
        </is>
      </c>
      <c r="W10">
        <f>HYPERLINK("https://klasma.github.io/Logging_0191/artfynd/A 51189-2022 artfynd.xlsx", "A 51189-2022")</f>
        <v/>
      </c>
      <c r="X10">
        <f>HYPERLINK("https://klasma.github.io/Logging_0191/kartor/A 51189-2022 karta.png", "A 51189-2022")</f>
        <v/>
      </c>
      <c r="Y10">
        <f>HYPERLINK("https://klasma.github.io/Logging_0191/kartor_geotiff/A 51189-2022 georefererad karta.tif", "A 51189-2022")</f>
        <v/>
      </c>
      <c r="AA10">
        <f>HYPERLINK("https://klasma.github.io/Logging_0191/klagomål/A 51189-2022 FSC-klagomål.docx", "A 51189-2022")</f>
        <v/>
      </c>
      <c r="AB10">
        <f>HYPERLINK("https://klasma.github.io/Logging_0191/klagomålsmail/A 51189-2022 FSC-klagomål mail.docx", "A 51189-2022")</f>
        <v/>
      </c>
      <c r="AC10">
        <f>HYPERLINK("https://klasma.github.io/Logging_0191/tillsyn/A 51189-2022 tillsynsbegäran.docx", "A 51189-2022")</f>
        <v/>
      </c>
      <c r="AD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46269</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46269</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46269</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64345-2023</t>
        </is>
      </c>
      <c r="B14" t="inlineStr">
        <is>
          <t>avverkningsanmälan</t>
        </is>
      </c>
      <c r="C14" t="inlineStr">
        <is>
          <t>Avverkning för annat ändamål</t>
        </is>
      </c>
      <c r="D14" s="1" t="n">
        <v>45280</v>
      </c>
      <c r="E14" s="1" t="n">
        <v>46269</v>
      </c>
      <c r="F14" t="inlineStr">
        <is>
          <t>STOCKHOLMS LÄN</t>
        </is>
      </c>
      <c r="G14" t="inlineStr">
        <is>
          <t>SIGTUNA</t>
        </is>
      </c>
      <c r="I14" t="n">
        <v>2.7</v>
      </c>
      <c r="J14" t="n">
        <v>2</v>
      </c>
      <c r="K14" t="n">
        <v>0</v>
      </c>
      <c r="L14" t="n">
        <v>1</v>
      </c>
      <c r="M14" t="n">
        <v>0</v>
      </c>
      <c r="N14" t="n">
        <v>0</v>
      </c>
      <c r="O14" t="n">
        <v>0</v>
      </c>
      <c r="P14" t="n">
        <v>0</v>
      </c>
      <c r="Q14" t="n">
        <v>1</v>
      </c>
      <c r="R14" t="n">
        <v>0</v>
      </c>
      <c r="S14" t="n">
        <v>2</v>
      </c>
      <c r="T14" t="n">
        <v>3</v>
      </c>
      <c r="U14" t="n">
        <v>3</v>
      </c>
      <c r="V14" s="2" t="inlineStr">
        <is>
          <t>Talltita
Kungsfågel</t>
        </is>
      </c>
      <c r="W14">
        <f>HYPERLINK("https://klasma.github.io/Logging_0191/artfynd/A 64345-2023 artfynd.xlsx", "A 64345-2023")</f>
        <v/>
      </c>
      <c r="X14">
        <f>HYPERLINK("https://klasma.github.io/Logging_0191/kartor/A 64345-2023 karta.png", "A 64345-2023")</f>
        <v/>
      </c>
      <c r="Y14">
        <f>HYPERLINK("https://klasma.github.io/Logging_0191/kartor_geotiff/A 64345-2023 georefererad karta.tif", "A 64345-2023")</f>
        <v/>
      </c>
      <c r="AA14">
        <f>HYPERLINK("https://klasma.github.io/Logging_0191/klagomål/A 64345-2023 FSC-klagomål.docx", "A 64345-2023")</f>
        <v/>
      </c>
      <c r="AB14">
        <f>HYPERLINK("https://klasma.github.io/Logging_0191/klagomålsmail/A 64345-2023 FSC-klagomål mail.docx", "A 64345-2023")</f>
        <v/>
      </c>
      <c r="AC14">
        <f>HYPERLINK("https://klasma.github.io/Logging_0191/tillsyn/A 64345-2023 tillsynsbegäran.docx", "A 64345-2023")</f>
        <v/>
      </c>
      <c r="AD14">
        <f>HYPERLINK("https://klasma.github.io/Logging_0191/tillsynsmail/A 64345-2023 tillsynsbegäran mail.docx", "A 64345-2023")</f>
        <v/>
      </c>
      <c r="AE14">
        <f>HYPERLINK("https://klasma.github.io/Logging_0191/fåglar/A 64345-2023 prioriterade fågelarter.docx", "A 64345-2023")</f>
        <v/>
      </c>
    </row>
    <row r="15" ht="15" customHeight="1">
      <c r="A15" t="inlineStr">
        <is>
          <t>A 41957-2025</t>
        </is>
      </c>
      <c r="B15" t="inlineStr">
        <is>
          <t>avverkningsanmälan</t>
        </is>
      </c>
      <c r="C15" t="inlineStr">
        <is>
          <t>Föryngringsavverkning</t>
        </is>
      </c>
      <c r="D15" s="1" t="n">
        <v>45903</v>
      </c>
      <c r="E15" s="1" t="n">
        <v>46269</v>
      </c>
      <c r="F15" t="inlineStr">
        <is>
          <t>STOCKHOLMS LÄN</t>
        </is>
      </c>
      <c r="G15" t="inlineStr">
        <is>
          <t>SIGTUNA</t>
        </is>
      </c>
      <c r="I15" t="n">
        <v>0.6</v>
      </c>
      <c r="J15" t="n">
        <v>2</v>
      </c>
      <c r="K15" t="n">
        <v>0</v>
      </c>
      <c r="L15" t="n">
        <v>0</v>
      </c>
      <c r="M15" t="n">
        <v>0</v>
      </c>
      <c r="N15" t="n">
        <v>0</v>
      </c>
      <c r="O15" t="n">
        <v>0</v>
      </c>
      <c r="P15" t="n">
        <v>0</v>
      </c>
      <c r="Q15" t="n">
        <v>0</v>
      </c>
      <c r="R15" t="n">
        <v>0</v>
      </c>
      <c r="S15" t="n">
        <v>2</v>
      </c>
      <c r="T15" t="n">
        <v>2</v>
      </c>
      <c r="U15" t="n">
        <v>0</v>
      </c>
      <c r="V15" s="2" t="inlineStr">
        <is>
          <t>Gröngöling
Kungsfågel</t>
        </is>
      </c>
      <c r="W15">
        <f>HYPERLINK("https://klasma.github.io/Logging_0191/artfynd/A 41957-2025 artfynd.xlsx", "A 41957-2025")</f>
        <v/>
      </c>
      <c r="X15">
        <f>HYPERLINK("https://klasma.github.io/Logging_0191/kartor/A 41957-2025 karta.png", "A 41957-2025")</f>
        <v/>
      </c>
      <c r="Y15">
        <f>HYPERLINK("https://klasma.github.io/Logging_0191/kartor_geotiff/A 41957-2025 georefererad karta.tif", "A 41957-2025")</f>
        <v/>
      </c>
      <c r="AA15">
        <f>HYPERLINK("https://klasma.github.io/Logging_0191/klagomål/A 41957-2025 FSC-klagomål.docx", "A 41957-2025")</f>
        <v/>
      </c>
      <c r="AB15">
        <f>HYPERLINK("https://klasma.github.io/Logging_0191/klagomålsmail/A 41957-2025 FSC-klagomål mail.docx", "A 41957-2025")</f>
        <v/>
      </c>
      <c r="AC15">
        <f>HYPERLINK("https://klasma.github.io/Logging_0191/tillsyn/A 41957-2025 tillsynsbegäran.docx", "A 41957-2025")</f>
        <v/>
      </c>
      <c r="AD15">
        <f>HYPERLINK("https://klasma.github.io/Logging_0191/tillsynsmail/A 41957-2025 tillsynsbegäran mail.docx", "A 41957-2025")</f>
        <v/>
      </c>
    </row>
    <row r="16" ht="15" customHeight="1">
      <c r="A16" t="inlineStr">
        <is>
          <t>A 22874-2026</t>
        </is>
      </c>
      <c r="B16" t="inlineStr">
        <is>
          <t>avverkningsanmälan</t>
        </is>
      </c>
      <c r="C16" t="inlineStr">
        <is>
          <t>Föryngringsavverkning</t>
        </is>
      </c>
      <c r="D16" s="1" t="n">
        <v>46156</v>
      </c>
      <c r="E16" s="1" t="n">
        <v>46269</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15452-2023</t>
        </is>
      </c>
      <c r="B17" t="inlineStr">
        <is>
          <t>avverkningsanmälan</t>
        </is>
      </c>
      <c r="C17" t="inlineStr">
        <is>
          <t>Avverkning för annat ändamål</t>
        </is>
      </c>
      <c r="D17" s="1" t="n">
        <v>45020</v>
      </c>
      <c r="E17" s="1" t="n">
        <v>46269</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46757-2023</t>
        </is>
      </c>
      <c r="B18" t="inlineStr">
        <is>
          <t>avverkningsanmälan</t>
        </is>
      </c>
      <c r="C18" t="inlineStr">
        <is>
          <t>Avverkning för annat ändamål</t>
        </is>
      </c>
      <c r="D18" s="1" t="n">
        <v>45198</v>
      </c>
      <c r="E18" s="1" t="n">
        <v>46269</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t="n">
        <v>0</v>
      </c>
      <c r="V18" s="2" t="inlineStr">
        <is>
          <t>Gulsparv</t>
        </is>
      </c>
      <c r="W18">
        <f>HYPERLINK("https://klasma.github.io/Logging_0191/artfynd/A 46757-2023 artfynd.xlsx", "A 46757-2023")</f>
        <v/>
      </c>
      <c r="X18">
        <f>HYPERLINK("https://klasma.github.io/Logging_0191/kartor/A 46757-2023 karta.png", "A 46757-2023")</f>
        <v/>
      </c>
      <c r="Y18">
        <f>HYPERLINK("https://klasma.github.io/Logging_0191/kartor_geotiff/A 46757-2023 georefererad karta.tif", "A 46757-2023")</f>
        <v/>
      </c>
      <c r="AA18">
        <f>HYPERLINK("https://klasma.github.io/Logging_0191/klagomål/A 46757-2023 FSC-klagomål.docx", "A 46757-2023")</f>
        <v/>
      </c>
      <c r="AB18">
        <f>HYPERLINK("https://klasma.github.io/Logging_0191/klagomålsmail/A 46757-2023 FSC-klagomål mail.docx", "A 46757-2023")</f>
        <v/>
      </c>
      <c r="AC18">
        <f>HYPERLINK("https://klasma.github.io/Logging_0191/tillsyn/A 46757-2023 tillsynsbegäran.docx", "A 46757-2023")</f>
        <v/>
      </c>
      <c r="AD18">
        <f>HYPERLINK("https://klasma.github.io/Logging_0191/tillsynsmail/A 46757-2023 tillsynsbegäran mail.docx", "A 46757-2023")</f>
        <v/>
      </c>
      <c r="AE18">
        <f>HYPERLINK("https://klasma.github.io/Logging_0191/fåglar/A 46757-2023 prioriterade fågelarter.docx", "A 46757-2023")</f>
        <v/>
      </c>
    </row>
    <row r="19" ht="15" customHeight="1">
      <c r="A19" t="inlineStr">
        <is>
          <t>A 33751-2024</t>
        </is>
      </c>
      <c r="B19" t="inlineStr">
        <is>
          <t>avverkningsanmälan</t>
        </is>
      </c>
      <c r="C19" t="inlineStr">
        <is>
          <t>Avverkning för annat ändamål</t>
        </is>
      </c>
      <c r="D19" s="1" t="n">
        <v>45520</v>
      </c>
      <c r="E19" s="1" t="n">
        <v>46269</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46269</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6893-2026</t>
        </is>
      </c>
      <c r="B21" t="inlineStr">
        <is>
          <t>avverkningsanmälan</t>
        </is>
      </c>
      <c r="C21" t="inlineStr">
        <is>
          <t>Föryngringsavverkning</t>
        </is>
      </c>
      <c r="D21" s="1" t="n">
        <v>46057</v>
      </c>
      <c r="E21" s="1" t="n">
        <v>46269</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t="n">
        <v>0</v>
      </c>
      <c r="V21" s="2" t="inlineStr">
        <is>
          <t>Gullklöver</t>
        </is>
      </c>
      <c r="W21">
        <f>HYPERLINK("https://klasma.github.io/Logging_0191/artfynd/A 6893-2026 artfynd.xlsx", "A 6893-2026")</f>
        <v/>
      </c>
      <c r="X21">
        <f>HYPERLINK("https://klasma.github.io/Logging_0191/kartor/A 6893-2026 karta.png", "A 6893-2026")</f>
        <v/>
      </c>
      <c r="Y21">
        <f>HYPERLINK("https://klasma.github.io/Logging_0191/kartor_geotiff/A 6893-2026 georefererad karta.tif", "A 6893-2026")</f>
        <v/>
      </c>
      <c r="AA21">
        <f>HYPERLINK("https://klasma.github.io/Logging_0191/klagomål/A 6893-2026 FSC-klagomål.docx", "A 6893-2026")</f>
        <v/>
      </c>
      <c r="AB21">
        <f>HYPERLINK("https://klasma.github.io/Logging_0191/klagomålsmail/A 6893-2026 FSC-klagomål mail.docx", "A 6893-2026")</f>
        <v/>
      </c>
      <c r="AC21">
        <f>HYPERLINK("https://klasma.github.io/Logging_0191/tillsyn/A 6893-2026 tillsynsbegäran.docx", "A 6893-2026")</f>
        <v/>
      </c>
      <c r="AD21">
        <f>HYPERLINK("https://klasma.github.io/Logging_0191/tillsynsmail/A 6893-2026 tillsynsbegäran mail.docx", "A 6893-2026")</f>
        <v/>
      </c>
    </row>
    <row r="22" ht="15" customHeight="1">
      <c r="A22" t="inlineStr">
        <is>
          <t>A 9750-2022</t>
        </is>
      </c>
      <c r="B22" t="inlineStr">
        <is>
          <t>avverkningsanmälan</t>
        </is>
      </c>
      <c r="C22" t="inlineStr">
        <is>
          <t>Föryngringsavverkning</t>
        </is>
      </c>
      <c r="D22" s="1" t="n">
        <v>44618</v>
      </c>
      <c r="E22" s="1" t="n">
        <v>46269</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46269</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65340-2021</t>
        </is>
      </c>
      <c r="B24" t="inlineStr">
        <is>
          <t>avverkningsanmälan</t>
        </is>
      </c>
      <c r="C24" t="inlineStr">
        <is>
          <t>Avverkning för annat ändamål</t>
        </is>
      </c>
      <c r="D24" s="1" t="n">
        <v>44515</v>
      </c>
      <c r="E24" s="1" t="n">
        <v>46269</v>
      </c>
      <c r="F24" t="inlineStr">
        <is>
          <t>STOCKHOLMS LÄN</t>
        </is>
      </c>
      <c r="G24" t="inlineStr">
        <is>
          <t>SIGTUNA</t>
        </is>
      </c>
      <c r="H24" t="inlineStr">
        <is>
          <t>Kyrkan</t>
        </is>
      </c>
      <c r="I24" t="n">
        <v>0.2</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46269</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53090-2021</t>
        </is>
      </c>
      <c r="B26" t="inlineStr">
        <is>
          <t>avverkningsanmälan</t>
        </is>
      </c>
      <c r="C26" t="inlineStr">
        <is>
          <t>Föryngringsavverkning</t>
        </is>
      </c>
      <c r="D26" s="1" t="n">
        <v>44467</v>
      </c>
      <c r="E26" s="1" t="n">
        <v>46269</v>
      </c>
      <c r="F26" t="inlineStr">
        <is>
          <t>STOCKHOLMS LÄN</t>
        </is>
      </c>
      <c r="G26" t="inlineStr">
        <is>
          <t>SIGTUNA</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31697-2022</t>
        </is>
      </c>
      <c r="B27" t="inlineStr">
        <is>
          <t>avverkningsanmälan</t>
        </is>
      </c>
      <c r="C27" t="inlineStr">
        <is>
          <t>Avverkning för att bevara och utveckla /försöksver</t>
        </is>
      </c>
      <c r="D27" s="1" t="n">
        <v>44776</v>
      </c>
      <c r="E27" s="1" t="n">
        <v>46269</v>
      </c>
      <c r="F27" t="inlineStr">
        <is>
          <t>STOCKHOLMS LÄN</t>
        </is>
      </c>
      <c r="G27" t="inlineStr">
        <is>
          <t>SIGTUNA</t>
        </is>
      </c>
      <c r="H27" t="inlineStr">
        <is>
          <t>Kommuner</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20960-2023</t>
        </is>
      </c>
      <c r="B28" t="inlineStr">
        <is>
          <t>avverkningsanmälan</t>
        </is>
      </c>
      <c r="C28" t="inlineStr">
        <is>
          <t>Föryngringsavverkning</t>
        </is>
      </c>
      <c r="D28" s="1" t="n">
        <v>45061</v>
      </c>
      <c r="E28" s="1" t="n">
        <v>46269</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55112-2021</t>
        </is>
      </c>
      <c r="B29" t="inlineStr">
        <is>
          <t>avverkningsanmälan</t>
        </is>
      </c>
      <c r="C29" t="inlineStr">
        <is>
          <t>Föryngringsavverkning</t>
        </is>
      </c>
      <c r="D29" s="1" t="n">
        <v>44474</v>
      </c>
      <c r="E29" s="1" t="n">
        <v>46269</v>
      </c>
      <c r="F29" t="inlineStr">
        <is>
          <t>STOCKHOLMS LÄN</t>
        </is>
      </c>
      <c r="G29" t="inlineStr">
        <is>
          <t>SIGTUNA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28851-2022</t>
        </is>
      </c>
      <c r="B30" t="inlineStr">
        <is>
          <t>avverkningsanmälan</t>
        </is>
      </c>
      <c r="C30" t="inlineStr">
        <is>
          <t>Föryngringsavverkning</t>
        </is>
      </c>
      <c r="D30" s="1" t="n">
        <v>44749</v>
      </c>
      <c r="E30" s="1" t="n">
        <v>46269</v>
      </c>
      <c r="F30" t="inlineStr">
        <is>
          <t>STOCKHOLMS LÄN</t>
        </is>
      </c>
      <c r="G30" t="inlineStr">
        <is>
          <t>SIGTUNA</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48375-2024</t>
        </is>
      </c>
      <c r="B31" t="inlineStr">
        <is>
          <t>avverkningsanmälan</t>
        </is>
      </c>
      <c r="C31" t="inlineStr">
        <is>
          <t>Föryngringsavverkning</t>
        </is>
      </c>
      <c r="D31" s="1" t="n">
        <v>45590</v>
      </c>
      <c r="E31" s="1" t="n">
        <v>46269</v>
      </c>
      <c r="F31" t="inlineStr">
        <is>
          <t>STOCKHOLMS LÄN</t>
        </is>
      </c>
      <c r="G31" t="inlineStr">
        <is>
          <t>SIGTUNA</t>
        </is>
      </c>
      <c r="H31" t="inlineStr">
        <is>
          <t>Allmännings- och besparingsskogar</t>
        </is>
      </c>
      <c r="I31" t="n">
        <v>4.8</v>
      </c>
      <c r="J31" t="n">
        <v>0</v>
      </c>
      <c r="K31" t="n">
        <v>0</v>
      </c>
      <c r="L31" t="n">
        <v>0</v>
      </c>
      <c r="M31" t="n">
        <v>0</v>
      </c>
      <c r="N31" t="n">
        <v>0</v>
      </c>
      <c r="O31" t="n">
        <v>0</v>
      </c>
      <c r="P31" t="n">
        <v>0</v>
      </c>
      <c r="Q31" t="n">
        <v>0</v>
      </c>
      <c r="R31" t="n">
        <v>0</v>
      </c>
      <c r="S31" t="n">
        <v>0</v>
      </c>
      <c r="T31" t="n">
        <v>0</v>
      </c>
      <c r="U31" t="n">
        <v>0</v>
      </c>
      <c r="V31" s="2" t="inlineStr"/>
    </row>
    <row r="32" ht="15" customHeight="1">
      <c r="A32" t="inlineStr">
        <is>
          <t>A 22402-2025</t>
        </is>
      </c>
      <c r="B32" t="inlineStr">
        <is>
          <t>avverkningsanmälan</t>
        </is>
      </c>
      <c r="C32" t="inlineStr">
        <is>
          <t>Föryngringsavverkning</t>
        </is>
      </c>
      <c r="D32" s="1" t="n">
        <v>45786</v>
      </c>
      <c r="E32" s="1" t="n">
        <v>46269</v>
      </c>
      <c r="F32" t="inlineStr">
        <is>
          <t>STOCKHOLMS LÄN</t>
        </is>
      </c>
      <c r="G32" t="inlineStr">
        <is>
          <t>SIGTUNA</t>
        </is>
      </c>
      <c r="I32" t="n">
        <v>4.1</v>
      </c>
      <c r="J32" t="n">
        <v>0</v>
      </c>
      <c r="K32" t="n">
        <v>0</v>
      </c>
      <c r="L32" t="n">
        <v>0</v>
      </c>
      <c r="M32" t="n">
        <v>0</v>
      </c>
      <c r="N32" t="n">
        <v>0</v>
      </c>
      <c r="O32" t="n">
        <v>0</v>
      </c>
      <c r="P32" t="n">
        <v>0</v>
      </c>
      <c r="Q32" t="n">
        <v>0</v>
      </c>
      <c r="R32" t="n">
        <v>0</v>
      </c>
      <c r="S32" t="n">
        <v>0</v>
      </c>
      <c r="T32" t="n">
        <v>0</v>
      </c>
      <c r="U32" t="n">
        <v>0</v>
      </c>
      <c r="V32" s="2" t="inlineStr"/>
    </row>
    <row r="33" ht="15" customHeight="1">
      <c r="A33" t="inlineStr">
        <is>
          <t>A 35961-2024</t>
        </is>
      </c>
      <c r="B33" t="inlineStr">
        <is>
          <t>avverkningsanmälan</t>
        </is>
      </c>
      <c r="C33" t="inlineStr">
        <is>
          <t>Föryngringsavverkning</t>
        </is>
      </c>
      <c r="D33" s="1" t="n">
        <v>45533</v>
      </c>
      <c r="E33" s="1" t="n">
        <v>46269</v>
      </c>
      <c r="F33" t="inlineStr">
        <is>
          <t>STOCKHOLMS LÄN</t>
        </is>
      </c>
      <c r="G33" t="inlineStr">
        <is>
          <t>SIGTUNA</t>
        </is>
      </c>
      <c r="I33" t="n">
        <v>2.6</v>
      </c>
      <c r="J33" t="n">
        <v>0</v>
      </c>
      <c r="K33" t="n">
        <v>0</v>
      </c>
      <c r="L33" t="n">
        <v>0</v>
      </c>
      <c r="M33" t="n">
        <v>0</v>
      </c>
      <c r="N33" t="n">
        <v>0</v>
      </c>
      <c r="O33" t="n">
        <v>0</v>
      </c>
      <c r="P33" t="n">
        <v>0</v>
      </c>
      <c r="Q33" t="n">
        <v>0</v>
      </c>
      <c r="R33" t="n">
        <v>0</v>
      </c>
      <c r="S33" t="n">
        <v>0</v>
      </c>
      <c r="T33" t="n">
        <v>0</v>
      </c>
      <c r="U33" t="n">
        <v>0</v>
      </c>
      <c r="V33" s="2" t="inlineStr"/>
    </row>
    <row r="34" ht="15" customHeight="1">
      <c r="A34" t="inlineStr">
        <is>
          <t>A 58619-2023</t>
        </is>
      </c>
      <c r="B34" t="inlineStr">
        <is>
          <t>avverkningsanmälan</t>
        </is>
      </c>
      <c r="C34" t="inlineStr">
        <is>
          <t>Föryngringsavverkning</t>
        </is>
      </c>
      <c r="D34" s="1" t="n">
        <v>45251</v>
      </c>
      <c r="E34" s="1" t="n">
        <v>46269</v>
      </c>
      <c r="F34" t="inlineStr">
        <is>
          <t>STOCKHOLMS LÄN</t>
        </is>
      </c>
      <c r="G34" t="inlineStr">
        <is>
          <t>SIGTUNA</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19031-2024</t>
        </is>
      </c>
      <c r="B35" t="inlineStr">
        <is>
          <t>avverkningsanmälan</t>
        </is>
      </c>
      <c r="C35" t="inlineStr">
        <is>
          <t>Avverkning för annat ändamål</t>
        </is>
      </c>
      <c r="D35" s="1" t="n">
        <v>45427</v>
      </c>
      <c r="E35" s="1" t="n">
        <v>46269</v>
      </c>
      <c r="F35" t="inlineStr">
        <is>
          <t>STOCKHOLMS LÄN</t>
        </is>
      </c>
      <c r="G35" t="inlineStr">
        <is>
          <t>SIGTUNA</t>
        </is>
      </c>
      <c r="I35" t="n">
        <v>2.7</v>
      </c>
      <c r="J35" t="n">
        <v>0</v>
      </c>
      <c r="K35" t="n">
        <v>0</v>
      </c>
      <c r="L35" t="n">
        <v>0</v>
      </c>
      <c r="M35" t="n">
        <v>0</v>
      </c>
      <c r="N35" t="n">
        <v>0</v>
      </c>
      <c r="O35" t="n">
        <v>0</v>
      </c>
      <c r="P35" t="n">
        <v>0</v>
      </c>
      <c r="Q35" t="n">
        <v>0</v>
      </c>
      <c r="R35" t="n">
        <v>0</v>
      </c>
      <c r="S35" t="n">
        <v>0</v>
      </c>
      <c r="T35" t="n">
        <v>0</v>
      </c>
      <c r="U35" t="n">
        <v>0</v>
      </c>
      <c r="V35" s="2" t="inlineStr"/>
    </row>
    <row r="36" ht="15" customHeight="1">
      <c r="A36" t="inlineStr">
        <is>
          <t>A 49592-2023</t>
        </is>
      </c>
      <c r="B36" t="inlineStr">
        <is>
          <t>avverkningsanmälan</t>
        </is>
      </c>
      <c r="C36" t="inlineStr">
        <is>
          <t>Föryngringsavverkning</t>
        </is>
      </c>
      <c r="D36" s="1" t="n">
        <v>45211</v>
      </c>
      <c r="E36" s="1" t="n">
        <v>46269</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5142-2024</t>
        </is>
      </c>
      <c r="B37" t="inlineStr">
        <is>
          <t>avverkningsanmälan</t>
        </is>
      </c>
      <c r="C37" t="inlineStr">
        <is>
          <t>Avverkning för annat ändamål</t>
        </is>
      </c>
      <c r="D37" s="1" t="n">
        <v>45330</v>
      </c>
      <c r="E37" s="1" t="n">
        <v>46269</v>
      </c>
      <c r="F37" t="inlineStr">
        <is>
          <t>STOCKHOLMS LÄN</t>
        </is>
      </c>
      <c r="G37" t="inlineStr">
        <is>
          <t>SIGTUNA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24105-2025</t>
        </is>
      </c>
      <c r="B38" t="inlineStr">
        <is>
          <t>avverkningsanmälan</t>
        </is>
      </c>
      <c r="C38" t="inlineStr">
        <is>
          <t>Föryngringsavverkning</t>
        </is>
      </c>
      <c r="D38" s="1" t="n">
        <v>45796</v>
      </c>
      <c r="E38" s="1" t="n">
        <v>46269</v>
      </c>
      <c r="F38" t="inlineStr">
        <is>
          <t>STOCKHOLMS LÄN</t>
        </is>
      </c>
      <c r="G38" t="inlineStr">
        <is>
          <t>SIGTUNA</t>
        </is>
      </c>
      <c r="I38" t="n">
        <v>3</v>
      </c>
      <c r="J38" t="n">
        <v>0</v>
      </c>
      <c r="K38" t="n">
        <v>0</v>
      </c>
      <c r="L38" t="n">
        <v>0</v>
      </c>
      <c r="M38" t="n">
        <v>0</v>
      </c>
      <c r="N38" t="n">
        <v>0</v>
      </c>
      <c r="O38" t="n">
        <v>0</v>
      </c>
      <c r="P38" t="n">
        <v>0</v>
      </c>
      <c r="Q38" t="n">
        <v>0</v>
      </c>
      <c r="R38" t="n">
        <v>0</v>
      </c>
      <c r="S38" t="n">
        <v>0</v>
      </c>
      <c r="T38" t="n">
        <v>0</v>
      </c>
      <c r="U38" t="n">
        <v>0</v>
      </c>
      <c r="V38" s="2" t="inlineStr"/>
    </row>
    <row r="39" ht="15" customHeight="1">
      <c r="A39" t="inlineStr">
        <is>
          <t>A 42572-2024</t>
        </is>
      </c>
      <c r="B39" t="inlineStr">
        <is>
          <t>avverkningsanmälan</t>
        </is>
      </c>
      <c r="C39" t="inlineStr">
        <is>
          <t>Föryngringsavverkning</t>
        </is>
      </c>
      <c r="D39" s="1" t="n">
        <v>45565</v>
      </c>
      <c r="E39" s="1" t="n">
        <v>46269</v>
      </c>
      <c r="F39" t="inlineStr">
        <is>
          <t>STOCKHOLMS LÄN</t>
        </is>
      </c>
      <c r="G39" t="inlineStr">
        <is>
          <t>SIGTUNA</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56796-2022</t>
        </is>
      </c>
      <c r="B40" t="inlineStr">
        <is>
          <t>avverkningsanmälan</t>
        </is>
      </c>
      <c r="C40" t="inlineStr">
        <is>
          <t>Föryngringsavverkning</t>
        </is>
      </c>
      <c r="D40" s="1" t="n">
        <v>44894</v>
      </c>
      <c r="E40" s="1" t="n">
        <v>46269</v>
      </c>
      <c r="F40" t="inlineStr">
        <is>
          <t>STOCKHOLMS LÄN</t>
        </is>
      </c>
      <c r="G40" t="inlineStr">
        <is>
          <t>SIGTUNA</t>
        </is>
      </c>
      <c r="I40" t="n">
        <v>5.2</v>
      </c>
      <c r="J40" t="n">
        <v>0</v>
      </c>
      <c r="K40" t="n">
        <v>0</v>
      </c>
      <c r="L40" t="n">
        <v>0</v>
      </c>
      <c r="M40" t="n">
        <v>0</v>
      </c>
      <c r="N40" t="n">
        <v>0</v>
      </c>
      <c r="O40" t="n">
        <v>0</v>
      </c>
      <c r="P40" t="n">
        <v>0</v>
      </c>
      <c r="Q40" t="n">
        <v>0</v>
      </c>
      <c r="R40" t="n">
        <v>0</v>
      </c>
      <c r="S40" t="n">
        <v>0</v>
      </c>
      <c r="T40" t="n">
        <v>0</v>
      </c>
      <c r="U40" t="n">
        <v>0</v>
      </c>
      <c r="V40" s="2" t="inlineStr"/>
    </row>
    <row r="41" ht="15" customHeight="1">
      <c r="A41" t="inlineStr">
        <is>
          <t>A 60934-2023</t>
        </is>
      </c>
      <c r="B41" t="inlineStr">
        <is>
          <t>avverkningsanmälan</t>
        </is>
      </c>
      <c r="C41" t="inlineStr">
        <is>
          <t>Föryngringsavverkning</t>
        </is>
      </c>
      <c r="D41" s="1" t="n">
        <v>45261</v>
      </c>
      <c r="E41" s="1" t="n">
        <v>46269</v>
      </c>
      <c r="F41" t="inlineStr">
        <is>
          <t>STOCKHOLMS LÄN</t>
        </is>
      </c>
      <c r="G41" t="inlineStr">
        <is>
          <t>SIGTUNA</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59168-2022</t>
        </is>
      </c>
      <c r="B42" t="inlineStr">
        <is>
          <t>avverkningsanmälan</t>
        </is>
      </c>
      <c r="C42" t="inlineStr">
        <is>
          <t>Föryngringsavverkning</t>
        </is>
      </c>
      <c r="D42" s="1" t="n">
        <v>44904</v>
      </c>
      <c r="E42" s="1" t="n">
        <v>46269</v>
      </c>
      <c r="F42" t="inlineStr">
        <is>
          <t>STOCKHOLMS LÄN</t>
        </is>
      </c>
      <c r="G42" t="inlineStr">
        <is>
          <t>SIGTUNA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10790-2023</t>
        </is>
      </c>
      <c r="B43" t="inlineStr">
        <is>
          <t>avverkningsanmälan</t>
        </is>
      </c>
      <c r="C43" t="inlineStr">
        <is>
          <t>Föryngringsavverkning</t>
        </is>
      </c>
      <c r="D43" s="1" t="n">
        <v>44989</v>
      </c>
      <c r="E43" s="1" t="n">
        <v>46269</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25452-2023</t>
        </is>
      </c>
      <c r="B44" t="inlineStr">
        <is>
          <t>avverkningsanmälan</t>
        </is>
      </c>
      <c r="C44" t="inlineStr">
        <is>
          <t>Föryngringsavverkning</t>
        </is>
      </c>
      <c r="D44" s="1" t="n">
        <v>45089</v>
      </c>
      <c r="E44" s="1" t="n">
        <v>46269</v>
      </c>
      <c r="F44" t="inlineStr">
        <is>
          <t>STOCKHOLMS LÄN</t>
        </is>
      </c>
      <c r="G44" t="inlineStr">
        <is>
          <t>SIGTUNA</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25459-2023</t>
        </is>
      </c>
      <c r="B45" t="inlineStr">
        <is>
          <t>avverkningsanmälan</t>
        </is>
      </c>
      <c r="C45" t="inlineStr">
        <is>
          <t>Föryngringsavverkning</t>
        </is>
      </c>
      <c r="D45" s="1" t="n">
        <v>45089</v>
      </c>
      <c r="E45" s="1" t="n">
        <v>46269</v>
      </c>
      <c r="F45" t="inlineStr">
        <is>
          <t>STOCKHOLMS LÄN</t>
        </is>
      </c>
      <c r="G45" t="inlineStr">
        <is>
          <t>SIGTUNA</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61937-2021</t>
        </is>
      </c>
      <c r="B46" t="inlineStr">
        <is>
          <t>avverkningsanmälan</t>
        </is>
      </c>
      <c r="C46" t="inlineStr">
        <is>
          <t>Avverkning för annat ändamål</t>
        </is>
      </c>
      <c r="D46" s="1" t="n">
        <v>44502</v>
      </c>
      <c r="E46" s="1" t="n">
        <v>46269</v>
      </c>
      <c r="F46" t="inlineStr">
        <is>
          <t>STOCKHOLMS LÄN</t>
        </is>
      </c>
      <c r="G46" t="inlineStr">
        <is>
          <t>SIGTUNA</t>
        </is>
      </c>
      <c r="I46" t="n">
        <v>14.7</v>
      </c>
      <c r="J46" t="n">
        <v>0</v>
      </c>
      <c r="K46" t="n">
        <v>0</v>
      </c>
      <c r="L46" t="n">
        <v>0</v>
      </c>
      <c r="M46" t="n">
        <v>0</v>
      </c>
      <c r="N46" t="n">
        <v>0</v>
      </c>
      <c r="O46" t="n">
        <v>0</v>
      </c>
      <c r="P46" t="n">
        <v>0</v>
      </c>
      <c r="Q46" t="n">
        <v>0</v>
      </c>
      <c r="R46" t="n">
        <v>0</v>
      </c>
      <c r="S46" t="n">
        <v>0</v>
      </c>
      <c r="T46" t="n">
        <v>0</v>
      </c>
      <c r="U46" t="n">
        <v>0</v>
      </c>
      <c r="V46" s="2" t="inlineStr"/>
    </row>
    <row r="47" ht="15" customHeight="1">
      <c r="A47" t="inlineStr">
        <is>
          <t>A 24636-2023</t>
        </is>
      </c>
      <c r="B47" t="inlineStr">
        <is>
          <t>avverkningsanmälan</t>
        </is>
      </c>
      <c r="C47" t="inlineStr">
        <is>
          <t>Föryngringsavverkning</t>
        </is>
      </c>
      <c r="D47" s="1" t="n">
        <v>45084</v>
      </c>
      <c r="E47" s="1" t="n">
        <v>46269</v>
      </c>
      <c r="F47" t="inlineStr">
        <is>
          <t>STOCKHOLMS LÄN</t>
        </is>
      </c>
      <c r="G47" t="inlineStr">
        <is>
          <t>SIGTUNA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41702-2023</t>
        </is>
      </c>
      <c r="B48" t="inlineStr">
        <is>
          <t>avverkningsanmälan</t>
        </is>
      </c>
      <c r="C48" t="inlineStr">
        <is>
          <t>Föryngringsavverkning</t>
        </is>
      </c>
      <c r="D48" s="1" t="n">
        <v>45176</v>
      </c>
      <c r="E48" s="1" t="n">
        <v>46269</v>
      </c>
      <c r="F48" t="inlineStr">
        <is>
          <t>STOCKHOLMS LÄN</t>
        </is>
      </c>
      <c r="G48" t="inlineStr">
        <is>
          <t>SIGTUNA</t>
        </is>
      </c>
      <c r="H48" t="inlineStr">
        <is>
          <t>Allmännings- och besparingsskogar</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28681-2025</t>
        </is>
      </c>
      <c r="B49" t="inlineStr">
        <is>
          <t>avverkningsanmälan</t>
        </is>
      </c>
      <c r="C49" t="inlineStr">
        <is>
          <t>Föryngringsavverkning</t>
        </is>
      </c>
      <c r="D49" s="1" t="n">
        <v>45819</v>
      </c>
      <c r="E49" s="1" t="n">
        <v>46269</v>
      </c>
      <c r="F49" t="inlineStr">
        <is>
          <t>STOCKHOLMS LÄN</t>
        </is>
      </c>
      <c r="G49" t="inlineStr">
        <is>
          <t>SIGTUNA</t>
        </is>
      </c>
      <c r="I49" t="n">
        <v>7.5</v>
      </c>
      <c r="J49" t="n">
        <v>0</v>
      </c>
      <c r="K49" t="n">
        <v>0</v>
      </c>
      <c r="L49" t="n">
        <v>0</v>
      </c>
      <c r="M49" t="n">
        <v>0</v>
      </c>
      <c r="N49" t="n">
        <v>0</v>
      </c>
      <c r="O49" t="n">
        <v>0</v>
      </c>
      <c r="P49" t="n">
        <v>0</v>
      </c>
      <c r="Q49" t="n">
        <v>0</v>
      </c>
      <c r="R49" t="n">
        <v>0</v>
      </c>
      <c r="S49" t="n">
        <v>0</v>
      </c>
      <c r="T49" t="n">
        <v>0</v>
      </c>
      <c r="U49" t="n">
        <v>0</v>
      </c>
      <c r="V49" s="2" t="inlineStr"/>
    </row>
    <row r="50" ht="15" customHeight="1">
      <c r="A50" t="inlineStr">
        <is>
          <t>A 38276-2023</t>
        </is>
      </c>
      <c r="B50" t="inlineStr">
        <is>
          <t>avverkningsanmälan</t>
        </is>
      </c>
      <c r="C50" t="inlineStr">
        <is>
          <t>Föryngringsavverkning</t>
        </is>
      </c>
      <c r="D50" s="1" t="n">
        <v>45160</v>
      </c>
      <c r="E50" s="1" t="n">
        <v>46269</v>
      </c>
      <c r="F50" t="inlineStr">
        <is>
          <t>STOCKHOLMS LÄN</t>
        </is>
      </c>
      <c r="G50" t="inlineStr">
        <is>
          <t>SIGTUNA</t>
        </is>
      </c>
      <c r="I50" t="n">
        <v>18.1</v>
      </c>
      <c r="J50" t="n">
        <v>0</v>
      </c>
      <c r="K50" t="n">
        <v>0</v>
      </c>
      <c r="L50" t="n">
        <v>0</v>
      </c>
      <c r="M50" t="n">
        <v>0</v>
      </c>
      <c r="N50" t="n">
        <v>0</v>
      </c>
      <c r="O50" t="n">
        <v>0</v>
      </c>
      <c r="P50" t="n">
        <v>0</v>
      </c>
      <c r="Q50" t="n">
        <v>0</v>
      </c>
      <c r="R50" t="n">
        <v>0</v>
      </c>
      <c r="S50" t="n">
        <v>0</v>
      </c>
      <c r="T50" t="n">
        <v>0</v>
      </c>
      <c r="U50" t="n">
        <v>0</v>
      </c>
      <c r="V50" s="2" t="inlineStr"/>
    </row>
    <row r="51" ht="15" customHeight="1">
      <c r="A51" t="inlineStr">
        <is>
          <t>A 45233-2024</t>
        </is>
      </c>
      <c r="B51" t="inlineStr">
        <is>
          <t>avverkningsanmälan</t>
        </is>
      </c>
      <c r="C51" t="inlineStr">
        <is>
          <t>Föryngringsavverkning</t>
        </is>
      </c>
      <c r="D51" s="1" t="n">
        <v>45575</v>
      </c>
      <c r="E51" s="1" t="n">
        <v>46269</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20375-2023</t>
        </is>
      </c>
      <c r="B52" t="inlineStr">
        <is>
          <t>avverkningsanmälan</t>
        </is>
      </c>
      <c r="C52" t="inlineStr">
        <is>
          <t>Föryngringsavverkning</t>
        </is>
      </c>
      <c r="D52" s="1" t="n">
        <v>45054</v>
      </c>
      <c r="E52" s="1" t="n">
        <v>46269</v>
      </c>
      <c r="F52" t="inlineStr">
        <is>
          <t>STOCKHOLMS LÄN</t>
        </is>
      </c>
      <c r="G52" t="inlineStr">
        <is>
          <t>SIGTUNA</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60935-2023</t>
        </is>
      </c>
      <c r="B53" t="inlineStr">
        <is>
          <t>avverkningsanmälan</t>
        </is>
      </c>
      <c r="C53" t="inlineStr">
        <is>
          <t>Föryngringsavverkning</t>
        </is>
      </c>
      <c r="D53" s="1" t="n">
        <v>45261</v>
      </c>
      <c r="E53" s="1" t="n">
        <v>46269</v>
      </c>
      <c r="F53" t="inlineStr">
        <is>
          <t>STOCKHOLMS LÄN</t>
        </is>
      </c>
      <c r="G53" t="inlineStr">
        <is>
          <t>SIGTUNA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273-2025</t>
        </is>
      </c>
      <c r="B54" t="inlineStr">
        <is>
          <t>avverkningsanmälan</t>
        </is>
      </c>
      <c r="C54" t="inlineStr">
        <is>
          <t>Avverkning för annat ändamål</t>
        </is>
      </c>
      <c r="D54" s="1" t="n">
        <v>45653</v>
      </c>
      <c r="E54" s="1" t="n">
        <v>46269</v>
      </c>
      <c r="F54" t="inlineStr">
        <is>
          <t>STOCKHOLMS LÄN</t>
        </is>
      </c>
      <c r="G54" t="inlineStr">
        <is>
          <t>SIGTUNA</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51770-2023</t>
        </is>
      </c>
      <c r="B55" t="inlineStr">
        <is>
          <t>avverkningsanmälan</t>
        </is>
      </c>
      <c r="C55" t="inlineStr">
        <is>
          <t>Föryngringsavverkning</t>
        </is>
      </c>
      <c r="D55" s="1" t="n">
        <v>45222</v>
      </c>
      <c r="E55" s="1" t="n">
        <v>46269</v>
      </c>
      <c r="F55" t="inlineStr">
        <is>
          <t>STOCKHOLMS LÄN</t>
        </is>
      </c>
      <c r="G55" t="inlineStr">
        <is>
          <t>SIGTUNA</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59165-2022</t>
        </is>
      </c>
      <c r="B56" t="inlineStr">
        <is>
          <t>avverkningsanmälan</t>
        </is>
      </c>
      <c r="C56" t="inlineStr">
        <is>
          <t>Föryngringsavverkning</t>
        </is>
      </c>
      <c r="D56" s="1" t="n">
        <v>44904</v>
      </c>
      <c r="E56" s="1" t="n">
        <v>46269</v>
      </c>
      <c r="F56" t="inlineStr">
        <is>
          <t>STOCKHOLMS LÄN</t>
        </is>
      </c>
      <c r="G56" t="inlineStr">
        <is>
          <t>SIGTUNA</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20957-2023</t>
        </is>
      </c>
      <c r="B57" t="inlineStr">
        <is>
          <t>avverkningsanmälan</t>
        </is>
      </c>
      <c r="C57" t="inlineStr">
        <is>
          <t>Föryngringsavverkning</t>
        </is>
      </c>
      <c r="D57" s="1" t="n">
        <v>45061</v>
      </c>
      <c r="E57" s="1" t="n">
        <v>46269</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31695-2022</t>
        </is>
      </c>
      <c r="B58" t="inlineStr">
        <is>
          <t>avverkningsanmälan</t>
        </is>
      </c>
      <c r="C58" t="inlineStr">
        <is>
          <t>Avverkning för att bevara och utveckla /försöksver</t>
        </is>
      </c>
      <c r="D58" s="1" t="n">
        <v>44776</v>
      </c>
      <c r="E58" s="1" t="n">
        <v>46269</v>
      </c>
      <c r="F58" t="inlineStr">
        <is>
          <t>STOCKHOLMS LÄN</t>
        </is>
      </c>
      <c r="G58" t="inlineStr">
        <is>
          <t>SIGTUNA</t>
        </is>
      </c>
      <c r="H58" t="inlineStr">
        <is>
          <t>Kommuner</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43700-2023</t>
        </is>
      </c>
      <c r="B59" t="inlineStr">
        <is>
          <t>avverkningsanmälan</t>
        </is>
      </c>
      <c r="C59" t="inlineStr">
        <is>
          <t>Föryngringsavverkning</t>
        </is>
      </c>
      <c r="D59" s="1" t="n">
        <v>45187</v>
      </c>
      <c r="E59" s="1" t="n">
        <v>46269</v>
      </c>
      <c r="F59" t="inlineStr">
        <is>
          <t>STOCKHOLMS LÄN</t>
        </is>
      </c>
      <c r="G59" t="inlineStr">
        <is>
          <t>SIGTUNA</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72530-2021</t>
        </is>
      </c>
      <c r="B60" t="inlineStr">
        <is>
          <t>avverkningsanmälan</t>
        </is>
      </c>
      <c r="C60" t="inlineStr">
        <is>
          <t>Avverkning för annat ändamål</t>
        </is>
      </c>
      <c r="D60" s="1" t="n">
        <v>44546</v>
      </c>
      <c r="E60" s="1" t="n">
        <v>46269</v>
      </c>
      <c r="F60" t="inlineStr">
        <is>
          <t>STOCKHOLMS LÄN</t>
        </is>
      </c>
      <c r="G60" t="inlineStr">
        <is>
          <t>SIGTUNA</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59957-2023</t>
        </is>
      </c>
      <c r="B61" t="inlineStr">
        <is>
          <t>avverkningsanmälan</t>
        </is>
      </c>
      <c r="C61" t="inlineStr">
        <is>
          <t>Föryngringsavverkning</t>
        </is>
      </c>
      <c r="D61" s="1" t="n">
        <v>45257</v>
      </c>
      <c r="E61" s="1" t="n">
        <v>46269</v>
      </c>
      <c r="F61" t="inlineStr">
        <is>
          <t>STOCKHOLMS LÄN</t>
        </is>
      </c>
      <c r="G61" t="inlineStr">
        <is>
          <t>SIGTUNA</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74170-2021</t>
        </is>
      </c>
      <c r="B62" t="inlineStr">
        <is>
          <t>avverkningsanmälan</t>
        </is>
      </c>
      <c r="C62" t="inlineStr">
        <is>
          <t>Föryngringsavverkning</t>
        </is>
      </c>
      <c r="D62" s="1" t="n">
        <v>44557</v>
      </c>
      <c r="E62" s="1" t="n">
        <v>46269</v>
      </c>
      <c r="F62" t="inlineStr">
        <is>
          <t>STOCKHOLMS LÄN</t>
        </is>
      </c>
      <c r="G62" t="inlineStr">
        <is>
          <t>SIGTUNA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2496-2024</t>
        </is>
      </c>
      <c r="B63" t="inlineStr">
        <is>
          <t>avverkningsanmälan</t>
        </is>
      </c>
      <c r="C63" t="inlineStr">
        <is>
          <t>Föryngringsavverkning</t>
        </is>
      </c>
      <c r="D63" s="1" t="n">
        <v>45313</v>
      </c>
      <c r="E63" s="1" t="n">
        <v>46269</v>
      </c>
      <c r="F63" t="inlineStr">
        <is>
          <t>STOCKHOLMS LÄN</t>
        </is>
      </c>
      <c r="G63" t="inlineStr">
        <is>
          <t>SIGTUNA</t>
        </is>
      </c>
      <c r="H63" t="inlineStr">
        <is>
          <t>Kommuner</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35966-2024</t>
        </is>
      </c>
      <c r="B64" t="inlineStr">
        <is>
          <t>avverkningsanmälan</t>
        </is>
      </c>
      <c r="C64" t="inlineStr">
        <is>
          <t>Föryngringsavverkning</t>
        </is>
      </c>
      <c r="D64" s="1" t="n">
        <v>45533</v>
      </c>
      <c r="E64" s="1" t="n">
        <v>46269</v>
      </c>
      <c r="F64" t="inlineStr">
        <is>
          <t>STOCKHOLMS LÄN</t>
        </is>
      </c>
      <c r="G64" t="inlineStr">
        <is>
          <t>SIGTUNA</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17320-2023</t>
        </is>
      </c>
      <c r="B65" t="inlineStr">
        <is>
          <t>avverkningsanmälan</t>
        </is>
      </c>
      <c r="C65" t="inlineStr">
        <is>
          <t>Föryngringsavverkning</t>
        </is>
      </c>
      <c r="D65" s="1" t="n">
        <v>45035</v>
      </c>
      <c r="E65" s="1" t="n">
        <v>46269</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36179-2022</t>
        </is>
      </c>
      <c r="B66" t="inlineStr">
        <is>
          <t>avverkningsanmälan</t>
        </is>
      </c>
      <c r="C66" t="inlineStr">
        <is>
          <t>Föryngringsavverkning</t>
        </is>
      </c>
      <c r="D66" s="1" t="n">
        <v>44803</v>
      </c>
      <c r="E66" s="1" t="n">
        <v>46269</v>
      </c>
      <c r="F66" t="inlineStr">
        <is>
          <t>STOCKHOLMS LÄN</t>
        </is>
      </c>
      <c r="G66" t="inlineStr">
        <is>
          <t>SIGTUNA</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7214-2022</t>
        </is>
      </c>
      <c r="B67" t="inlineStr">
        <is>
          <t>avverkningsanmälan</t>
        </is>
      </c>
      <c r="C67" t="inlineStr">
        <is>
          <t>Föryngringsavverkning</t>
        </is>
      </c>
      <c r="D67" s="1" t="n">
        <v>44606</v>
      </c>
      <c r="E67" s="1" t="n">
        <v>46269</v>
      </c>
      <c r="F67" t="inlineStr">
        <is>
          <t>STOCKHOLMS LÄN</t>
        </is>
      </c>
      <c r="G67" t="inlineStr">
        <is>
          <t>SIGTUNA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45319-2023</t>
        </is>
      </c>
      <c r="B68" t="inlineStr">
        <is>
          <t>avverkningsanmälan</t>
        </is>
      </c>
      <c r="C68" t="inlineStr">
        <is>
          <t>Föryngringsavverkning</t>
        </is>
      </c>
      <c r="D68" s="1" t="n">
        <v>45191</v>
      </c>
      <c r="E68" s="1" t="n">
        <v>46269</v>
      </c>
      <c r="F68" t="inlineStr">
        <is>
          <t>STOCKHOLMS LÄN</t>
        </is>
      </c>
      <c r="G68" t="inlineStr">
        <is>
          <t>SIGTUNA</t>
        </is>
      </c>
      <c r="H68" t="inlineStr">
        <is>
          <t>Allmännings- och besparingsskogar</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36181-2022</t>
        </is>
      </c>
      <c r="B69" t="inlineStr">
        <is>
          <t>avverkningsanmälan</t>
        </is>
      </c>
      <c r="C69" t="inlineStr">
        <is>
          <t>Föryngringsavverkning</t>
        </is>
      </c>
      <c r="D69" s="1" t="n">
        <v>44803</v>
      </c>
      <c r="E69" s="1" t="n">
        <v>46269</v>
      </c>
      <c r="F69" t="inlineStr">
        <is>
          <t>STOCKHOLMS LÄN</t>
        </is>
      </c>
      <c r="G69" t="inlineStr">
        <is>
          <t>SIGTUNA</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17286-2022</t>
        </is>
      </c>
      <c r="B70" t="inlineStr">
        <is>
          <t>avverkningsanmälan</t>
        </is>
      </c>
      <c r="C70" t="inlineStr">
        <is>
          <t>Avverkning för annat ändamål</t>
        </is>
      </c>
      <c r="D70" s="1" t="n">
        <v>44678</v>
      </c>
      <c r="E70" s="1" t="n">
        <v>46269</v>
      </c>
      <c r="F70" t="inlineStr">
        <is>
          <t>STOCKHOLMS LÄN</t>
        </is>
      </c>
      <c r="G70" t="inlineStr">
        <is>
          <t>SIGTUNA</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28752-2024</t>
        </is>
      </c>
      <c r="B71" t="inlineStr">
        <is>
          <t>avverkningsanmälan</t>
        </is>
      </c>
      <c r="C71" t="inlineStr">
        <is>
          <t>Föryngringsavverkning</t>
        </is>
      </c>
      <c r="D71" s="1" t="n">
        <v>45478</v>
      </c>
      <c r="E71" s="1" t="n">
        <v>46269</v>
      </c>
      <c r="F71" t="inlineStr">
        <is>
          <t>STOCKHOLMS LÄN</t>
        </is>
      </c>
      <c r="G71" t="inlineStr">
        <is>
          <t>SIGTUNA</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47392-2025</t>
        </is>
      </c>
      <c r="B72" t="inlineStr">
        <is>
          <t>avverkningsanmälan</t>
        </is>
      </c>
      <c r="C72" t="inlineStr">
        <is>
          <t>Föryngringsavverkning</t>
        </is>
      </c>
      <c r="D72" s="1" t="n">
        <v>45930</v>
      </c>
      <c r="E72" s="1" t="n">
        <v>46269</v>
      </c>
      <c r="F72" t="inlineStr">
        <is>
          <t>STOCKHOLMS LÄN</t>
        </is>
      </c>
      <c r="G72" t="inlineStr">
        <is>
          <t>SIGTUNA</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6826-2025</t>
        </is>
      </c>
      <c r="B73" t="inlineStr">
        <is>
          <t>avverkningsanmälan</t>
        </is>
      </c>
      <c r="C73" t="inlineStr">
        <is>
          <t>Avverkning för annat ändamål</t>
        </is>
      </c>
      <c r="D73" s="1" t="n">
        <v>45700</v>
      </c>
      <c r="E73" s="1" t="n">
        <v>46269</v>
      </c>
      <c r="F73" t="inlineStr">
        <is>
          <t>STOCKHOLMS LÄN</t>
        </is>
      </c>
      <c r="G73" t="inlineStr">
        <is>
          <t>SIGTUNA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9856-2024</t>
        </is>
      </c>
      <c r="B74" t="inlineStr">
        <is>
          <t>avverkningsanmälan</t>
        </is>
      </c>
      <c r="C74" t="inlineStr">
        <is>
          <t>Avverkning för annat ändamål</t>
        </is>
      </c>
      <c r="D74" s="1" t="n">
        <v>45363</v>
      </c>
      <c r="E74" s="1" t="n">
        <v>46269</v>
      </c>
      <c r="F74" t="inlineStr">
        <is>
          <t>STOCKHOLMS LÄN</t>
        </is>
      </c>
      <c r="G74" t="inlineStr">
        <is>
          <t>SIGTUNA</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862-2022</t>
        </is>
      </c>
      <c r="B75" t="inlineStr">
        <is>
          <t>avverkningsanmälan</t>
        </is>
      </c>
      <c r="C75" t="inlineStr">
        <is>
          <t>Avverkning för annat ändamål</t>
        </is>
      </c>
      <c r="D75" s="1" t="n">
        <v>44571</v>
      </c>
      <c r="E75" s="1" t="n">
        <v>46269</v>
      </c>
      <c r="F75" t="inlineStr">
        <is>
          <t>STOCKHOLMS LÄN</t>
        </is>
      </c>
      <c r="G75" t="inlineStr">
        <is>
          <t>SIGTUNA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49916-2025</t>
        </is>
      </c>
      <c r="B76" t="inlineStr">
        <is>
          <t>avverkningsanmälan</t>
        </is>
      </c>
      <c r="C76" t="inlineStr">
        <is>
          <t>Föryngringsavverkning</t>
        </is>
      </c>
      <c r="D76" s="1" t="n">
        <v>45940</v>
      </c>
      <c r="E76" s="1" t="n">
        <v>46269</v>
      </c>
      <c r="F76" t="inlineStr">
        <is>
          <t>STOCKHOLMS LÄN</t>
        </is>
      </c>
      <c r="G76" t="inlineStr">
        <is>
          <t>SIGTUNA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22913-2026</t>
        </is>
      </c>
      <c r="B77" t="inlineStr">
        <is>
          <t>avverkningsanmälan</t>
        </is>
      </c>
      <c r="C77" t="inlineStr">
        <is>
          <t>Föryngringsavverkning</t>
        </is>
      </c>
      <c r="D77" s="1" t="n">
        <v>46159</v>
      </c>
      <c r="E77" s="1" t="n">
        <v>46269</v>
      </c>
      <c r="F77" t="inlineStr">
        <is>
          <t>STOCKHOLMS LÄN</t>
        </is>
      </c>
      <c r="G77" t="inlineStr">
        <is>
          <t>SIGTUNA</t>
        </is>
      </c>
      <c r="H77" t="inlineStr">
        <is>
          <t>Sveaskog</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32424-2023</t>
        </is>
      </c>
      <c r="B78" t="inlineStr">
        <is>
          <t>avverkningsanmälan</t>
        </is>
      </c>
      <c r="C78" t="inlineStr">
        <is>
          <t>Föryngringsavverkning</t>
        </is>
      </c>
      <c r="D78" s="1" t="n">
        <v>45110</v>
      </c>
      <c r="E78" s="1" t="n">
        <v>46269</v>
      </c>
      <c r="F78" t="inlineStr">
        <is>
          <t>STOCKHOLMS LÄN</t>
        </is>
      </c>
      <c r="G78" t="inlineStr">
        <is>
          <t>SIGTUNA</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32426-2023</t>
        </is>
      </c>
      <c r="B79" t="inlineStr">
        <is>
          <t>avverkningsanmälan</t>
        </is>
      </c>
      <c r="C79" t="inlineStr">
        <is>
          <t>Föryngringsavverkning</t>
        </is>
      </c>
      <c r="D79" s="1" t="n">
        <v>45110</v>
      </c>
      <c r="E79" s="1" t="n">
        <v>46269</v>
      </c>
      <c r="F79" t="inlineStr">
        <is>
          <t>STOCKHOLMS LÄN</t>
        </is>
      </c>
      <c r="G79" t="inlineStr">
        <is>
          <t>SIGTUNA</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11285-2023</t>
        </is>
      </c>
      <c r="B80" t="inlineStr">
        <is>
          <t>avverkningsanmälan</t>
        </is>
      </c>
      <c r="C80" t="inlineStr">
        <is>
          <t>Föryngringsavverkning</t>
        </is>
      </c>
      <c r="D80" s="1" t="n">
        <v>44992</v>
      </c>
      <c r="E80" s="1" t="n">
        <v>46269</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46269</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60969-2025</t>
        </is>
      </c>
      <c r="B82" t="inlineStr">
        <is>
          <t>avverkningsanmälan</t>
        </is>
      </c>
      <c r="C82" t="inlineStr">
        <is>
          <t>Föryngringsavverkning</t>
        </is>
      </c>
      <c r="D82" s="1" t="n">
        <v>45996</v>
      </c>
      <c r="E82" s="1" t="n">
        <v>46269</v>
      </c>
      <c r="F82" t="inlineStr">
        <is>
          <t>STOCKHOLMS LÄN</t>
        </is>
      </c>
      <c r="G82" t="inlineStr">
        <is>
          <t>SIGTUNA</t>
        </is>
      </c>
      <c r="I82" t="n">
        <v>8.800000000000001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60949-2025</t>
        </is>
      </c>
      <c r="B83" t="inlineStr">
        <is>
          <t>avverkningsanmälan</t>
        </is>
      </c>
      <c r="C83" t="inlineStr">
        <is>
          <t>Föryngringsavverkning</t>
        </is>
      </c>
      <c r="D83" s="1" t="n">
        <v>45996</v>
      </c>
      <c r="E83" s="1" t="n">
        <v>46269</v>
      </c>
      <c r="F83" t="inlineStr">
        <is>
          <t>STOCKHOLMS LÄN</t>
        </is>
      </c>
      <c r="G83" t="inlineStr">
        <is>
          <t>SIGTUNA</t>
        </is>
      </c>
      <c r="I83" t="n">
        <v>21.9</v>
      </c>
      <c r="J83" t="n">
        <v>0</v>
      </c>
      <c r="K83" t="n">
        <v>0</v>
      </c>
      <c r="L83" t="n">
        <v>0</v>
      </c>
      <c r="M83" t="n">
        <v>0</v>
      </c>
      <c r="N83" t="n">
        <v>0</v>
      </c>
      <c r="O83" t="n">
        <v>0</v>
      </c>
      <c r="P83" t="n">
        <v>0</v>
      </c>
      <c r="Q83" t="n">
        <v>0</v>
      </c>
      <c r="R83" t="n">
        <v>0</v>
      </c>
      <c r="S83" t="n">
        <v>0</v>
      </c>
      <c r="T83" t="n">
        <v>0</v>
      </c>
      <c r="U83" t="n">
        <v>0</v>
      </c>
      <c r="V83" s="2" t="inlineStr"/>
    </row>
    <row r="84" ht="15" customHeight="1">
      <c r="A84" t="inlineStr">
        <is>
          <t>A 12931-2022</t>
        </is>
      </c>
      <c r="B84" t="inlineStr">
        <is>
          <t>avverkningsanmälan</t>
        </is>
      </c>
      <c r="C84" t="inlineStr">
        <is>
          <t>Föryngringsavverkning</t>
        </is>
      </c>
      <c r="D84" s="1" t="n">
        <v>44642</v>
      </c>
      <c r="E84" s="1" t="n">
        <v>46269</v>
      </c>
      <c r="F84" t="inlineStr">
        <is>
          <t>STOCKHOLMS LÄN</t>
        </is>
      </c>
      <c r="G84" t="inlineStr">
        <is>
          <t>SIGTUNA</t>
        </is>
      </c>
      <c r="H84" t="inlineStr">
        <is>
          <t>Kyrkan</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3673-2026</t>
        </is>
      </c>
      <c r="B85" t="inlineStr">
        <is>
          <t>avverkningsanmälan</t>
        </is>
      </c>
      <c r="C85" t="inlineStr">
        <is>
          <t>Föryngringsavverkning</t>
        </is>
      </c>
      <c r="D85" s="1" t="n">
        <v>46043</v>
      </c>
      <c r="E85" s="1" t="n">
        <v>46269</v>
      </c>
      <c r="F85" t="inlineStr">
        <is>
          <t>STOCKHOLMS LÄN</t>
        </is>
      </c>
      <c r="G85" t="inlineStr">
        <is>
          <t>SIGTUNA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4788-2026</t>
        </is>
      </c>
      <c r="B86" t="inlineStr">
        <is>
          <t>avverkningsanmälan</t>
        </is>
      </c>
      <c r="C86" t="inlineStr">
        <is>
          <t>Föryngringsavverkning</t>
        </is>
      </c>
      <c r="D86" s="1" t="n">
        <v>46048</v>
      </c>
      <c r="E86" s="1" t="n">
        <v>46269</v>
      </c>
      <c r="F86" t="inlineStr">
        <is>
          <t>STOCKHOLMS LÄN</t>
        </is>
      </c>
      <c r="G86" t="inlineStr">
        <is>
          <t>SIGTUNA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41693-2022</t>
        </is>
      </c>
      <c r="B87" t="inlineStr">
        <is>
          <t>avverkningsanmälan</t>
        </is>
      </c>
      <c r="C87" t="inlineStr">
        <is>
          <t>Föryngringsavverkning</t>
        </is>
      </c>
      <c r="D87" s="1" t="n">
        <v>44827</v>
      </c>
      <c r="E87" s="1" t="n">
        <v>46269</v>
      </c>
      <c r="F87" t="inlineStr">
        <is>
          <t>STOCKHOLMS LÄN</t>
        </is>
      </c>
      <c r="G87" t="inlineStr">
        <is>
          <t>SIGTUNA</t>
        </is>
      </c>
      <c r="H87" t="inlineStr">
        <is>
          <t>Allmännings- och besparingsskogar</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12052-2026</t>
        </is>
      </c>
      <c r="B88" t="inlineStr">
        <is>
          <t>avverkningsanmälan</t>
        </is>
      </c>
      <c r="C88" t="inlineStr">
        <is>
          <t>Föryngringsavverkning</t>
        </is>
      </c>
      <c r="D88" s="1" t="n">
        <v>46086</v>
      </c>
      <c r="E88" s="1" t="n">
        <v>46269</v>
      </c>
      <c r="F88" t="inlineStr">
        <is>
          <t>STOCKHOLMS LÄN</t>
        </is>
      </c>
      <c r="G88" t="inlineStr">
        <is>
          <t>SIGTUNA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13662-2026</t>
        </is>
      </c>
      <c r="B89" t="inlineStr">
        <is>
          <t>avverkningsanmälan</t>
        </is>
      </c>
      <c r="C89" t="inlineStr">
        <is>
          <t>Föryngringsavverkning</t>
        </is>
      </c>
      <c r="D89" s="1" t="n">
        <v>46097</v>
      </c>
      <c r="E89" s="1" t="n">
        <v>46269</v>
      </c>
      <c r="F89" t="inlineStr">
        <is>
          <t>STOCKHOLMS LÄN</t>
        </is>
      </c>
      <c r="G89" t="inlineStr">
        <is>
          <t>SIGTUNA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37392-2024</t>
        </is>
      </c>
      <c r="B90" t="inlineStr">
        <is>
          <t>avverkningsanmälan</t>
        </is>
      </c>
      <c r="C90" t="inlineStr">
        <is>
          <t>Föryngringsavverkning</t>
        </is>
      </c>
      <c r="D90" s="1" t="n">
        <v>45540</v>
      </c>
      <c r="E90" s="1" t="n">
        <v>46269</v>
      </c>
      <c r="F90" t="inlineStr">
        <is>
          <t>STOCKHOLMS LÄN</t>
        </is>
      </c>
      <c r="G90" t="inlineStr">
        <is>
          <t>SIGTUNA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38465-2023</t>
        </is>
      </c>
      <c r="B91" t="inlineStr">
        <is>
          <t>avverkningsanmälan</t>
        </is>
      </c>
      <c r="C91" t="inlineStr">
        <is>
          <t>Föryngringsavverkning</t>
        </is>
      </c>
      <c r="D91" s="1" t="n">
        <v>45162</v>
      </c>
      <c r="E91" s="1" t="n">
        <v>46269</v>
      </c>
      <c r="F91" t="inlineStr">
        <is>
          <t>STOCKHOLMS LÄN</t>
        </is>
      </c>
      <c r="G91" t="inlineStr">
        <is>
          <t>SIGTUNA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31684-2022</t>
        </is>
      </c>
      <c r="B92" t="inlineStr">
        <is>
          <t>avverkningsanmälan</t>
        </is>
      </c>
      <c r="C92" t="inlineStr">
        <is>
          <t>Avverkning för att bevara och utveckla /försöksver</t>
        </is>
      </c>
      <c r="D92" s="1" t="n">
        <v>44776</v>
      </c>
      <c r="E92" s="1" t="n">
        <v>46269</v>
      </c>
      <c r="F92" t="inlineStr">
        <is>
          <t>STOCKHOLMS LÄN</t>
        </is>
      </c>
      <c r="G92" t="inlineStr">
        <is>
          <t>SIGTUNA</t>
        </is>
      </c>
      <c r="H92" t="inlineStr">
        <is>
          <t>Kommuner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60865-2024</t>
        </is>
      </c>
      <c r="B93" t="inlineStr">
        <is>
          <t>avverkningsanmälan</t>
        </is>
      </c>
      <c r="C93" t="inlineStr">
        <is>
          <t>Föryngringsavverkning</t>
        </is>
      </c>
      <c r="D93" s="1" t="n">
        <v>45644</v>
      </c>
      <c r="E93" s="1" t="n">
        <v>46269</v>
      </c>
      <c r="F93" t="inlineStr">
        <is>
          <t>STOCKHOLMS LÄN</t>
        </is>
      </c>
      <c r="G93" t="inlineStr">
        <is>
          <t>SIGTUNA</t>
        </is>
      </c>
      <c r="I93" t="n">
        <v>0.2</v>
      </c>
      <c r="J93" t="n">
        <v>0</v>
      </c>
      <c r="K93" t="n">
        <v>0</v>
      </c>
      <c r="L93" t="n">
        <v>0</v>
      </c>
      <c r="M93" t="n">
        <v>0</v>
      </c>
      <c r="N93" t="n">
        <v>0</v>
      </c>
      <c r="O93" t="n">
        <v>0</v>
      </c>
      <c r="P93" t="n">
        <v>0</v>
      </c>
      <c r="Q93" t="n">
        <v>0</v>
      </c>
      <c r="R93" t="n">
        <v>0</v>
      </c>
      <c r="S93" t="n">
        <v>0</v>
      </c>
      <c r="T93" t="n">
        <v>0</v>
      </c>
      <c r="U93" t="n">
        <v>0</v>
      </c>
      <c r="V93" s="2" t="inlineStr"/>
    </row>
    <row r="94" ht="15" customHeight="1">
      <c r="A94" t="inlineStr">
        <is>
          <t>A 9120-2025</t>
        </is>
      </c>
      <c r="B94" t="inlineStr">
        <is>
          <t>avverkningsanmälan</t>
        </is>
      </c>
      <c r="C94" t="inlineStr">
        <is>
          <t>Föryngringsavverkning</t>
        </is>
      </c>
      <c r="D94" s="1" t="n">
        <v>45713</v>
      </c>
      <c r="E94" s="1" t="n">
        <v>46269</v>
      </c>
      <c r="F94" t="inlineStr">
        <is>
          <t>STOCKHOLMS LÄN</t>
        </is>
      </c>
      <c r="G94" t="inlineStr">
        <is>
          <t>SIGTUNA</t>
        </is>
      </c>
      <c r="H94" t="inlineStr">
        <is>
          <t>Allmännings- och besparingsskogar</t>
        </is>
      </c>
      <c r="I94" t="n">
        <v>9.699999999999999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24967-2024</t>
        </is>
      </c>
      <c r="B95" t="inlineStr">
        <is>
          <t>avverkningsanmälan</t>
        </is>
      </c>
      <c r="C95" t="inlineStr">
        <is>
          <t>Föryngringsavverkning</t>
        </is>
      </c>
      <c r="D95" s="1" t="n">
        <v>45461</v>
      </c>
      <c r="E95" s="1" t="n">
        <v>46269</v>
      </c>
      <c r="F95" t="inlineStr">
        <is>
          <t>STOCKHOLMS LÄN</t>
        </is>
      </c>
      <c r="G95" t="inlineStr">
        <is>
          <t>SIGTUNA</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43158-2024</t>
        </is>
      </c>
      <c r="B96" t="inlineStr">
        <is>
          <t>avverkningsanmälan</t>
        </is>
      </c>
      <c r="C96" t="inlineStr">
        <is>
          <t>Föryngringsavverkning</t>
        </is>
      </c>
      <c r="D96" s="1" t="n">
        <v>45567</v>
      </c>
      <c r="E96" s="1" t="n">
        <v>46269</v>
      </c>
      <c r="F96" t="inlineStr">
        <is>
          <t>STOCKHOLMS LÄN</t>
        </is>
      </c>
      <c r="G96" t="inlineStr">
        <is>
          <t>SIGTUNA</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24946-2024</t>
        </is>
      </c>
      <c r="B97" t="inlineStr">
        <is>
          <t>avverkningsanmälan</t>
        </is>
      </c>
      <c r="C97" t="inlineStr">
        <is>
          <t>Föryngringsavverkning</t>
        </is>
      </c>
      <c r="D97" s="1" t="n">
        <v>45461</v>
      </c>
      <c r="E97" s="1" t="n">
        <v>46269</v>
      </c>
      <c r="F97" t="inlineStr">
        <is>
          <t>STOCKHOLMS LÄN</t>
        </is>
      </c>
      <c r="G97" t="inlineStr">
        <is>
          <t>SIGTUNA</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3890-2025</t>
        </is>
      </c>
      <c r="B98" t="inlineStr">
        <is>
          <t>avverkningsanmälan</t>
        </is>
      </c>
      <c r="C98" t="inlineStr">
        <is>
          <t>Föryngringsavverkning</t>
        </is>
      </c>
      <c r="D98" s="1" t="n">
        <v>45684</v>
      </c>
      <c r="E98" s="1" t="n">
        <v>46269</v>
      </c>
      <c r="F98" t="inlineStr">
        <is>
          <t>STOCKHOLMS LÄN</t>
        </is>
      </c>
      <c r="G98" t="inlineStr">
        <is>
          <t>SIGTUNA</t>
        </is>
      </c>
      <c r="I98" t="n">
        <v>2.9</v>
      </c>
      <c r="J98" t="n">
        <v>0</v>
      </c>
      <c r="K98" t="n">
        <v>0</v>
      </c>
      <c r="L98" t="n">
        <v>0</v>
      </c>
      <c r="M98" t="n">
        <v>0</v>
      </c>
      <c r="N98" t="n">
        <v>0</v>
      </c>
      <c r="O98" t="n">
        <v>0</v>
      </c>
      <c r="P98" t="n">
        <v>0</v>
      </c>
      <c r="Q98" t="n">
        <v>0</v>
      </c>
      <c r="R98" t="n">
        <v>0</v>
      </c>
      <c r="S98" t="n">
        <v>0</v>
      </c>
      <c r="T98" t="n">
        <v>0</v>
      </c>
      <c r="U98" t="n">
        <v>0</v>
      </c>
      <c r="V98" s="2" t="inlineStr"/>
    </row>
    <row r="99">
      <c r="A99" t="inlineStr">
        <is>
          <t>A 21513-2025</t>
        </is>
      </c>
      <c r="B99" t="inlineStr">
        <is>
          <t>avverkningsanmälan</t>
        </is>
      </c>
      <c r="C99" t="inlineStr">
        <is>
          <t>Föryngringsavverkning</t>
        </is>
      </c>
      <c r="D99" s="1" t="n">
        <v>45782</v>
      </c>
      <c r="E99" s="1" t="n">
        <v>46269</v>
      </c>
      <c r="F99" t="inlineStr">
        <is>
          <t>STOCKHOLMS LÄN</t>
        </is>
      </c>
      <c r="G99" t="inlineStr">
        <is>
          <t>SIGTUNA</t>
        </is>
      </c>
      <c r="I99" t="n">
        <v>2.2</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2026-09-04T02:07:28Z</dcterms:created>
  <dcterms:modified xmlns:dcterms="http://purl.org/dc/terms/" xmlns:xsi="http://www.w3.org/2001/XMLSchema-instance" xsi:type="dcterms:W3CDTF">2026-09-04T02:07:28Z</dcterms:modified>
</cp:coreProperties>
</file>
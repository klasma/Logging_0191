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46305</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46305</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46305</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46305</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46305</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46305</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46305</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46305</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46305</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46305</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46305</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46305</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46305</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64345-2023</t>
        </is>
      </c>
      <c r="B15" t="inlineStr">
        <is>
          <t>avverkningsanmälan</t>
        </is>
      </c>
      <c r="C15" t="inlineStr">
        <is>
          <t>Avverkning för annat ändamål</t>
        </is>
      </c>
      <c r="D15" s="1" t="n">
        <v>45280</v>
      </c>
      <c r="E15" s="1" t="n">
        <v>46305</v>
      </c>
      <c r="F15" t="inlineStr">
        <is>
          <t>STOCKHOLMS LÄN</t>
        </is>
      </c>
      <c r="G15" t="inlineStr">
        <is>
          <t>SIGTUNA</t>
        </is>
      </c>
      <c r="I15" t="n">
        <v>2.7</v>
      </c>
      <c r="J15" t="n">
        <v>2</v>
      </c>
      <c r="K15" t="n">
        <v>0</v>
      </c>
      <c r="L15" t="n">
        <v>1</v>
      </c>
      <c r="M15" t="n">
        <v>0</v>
      </c>
      <c r="N15" t="n">
        <v>0</v>
      </c>
      <c r="O15" t="n">
        <v>0</v>
      </c>
      <c r="P15" t="n">
        <v>0</v>
      </c>
      <c r="Q15" t="n">
        <v>1</v>
      </c>
      <c r="R15" t="n">
        <v>0</v>
      </c>
      <c r="S15" t="n">
        <v>2</v>
      </c>
      <c r="T15" t="n">
        <v>3</v>
      </c>
      <c r="U15" t="n">
        <v>3</v>
      </c>
      <c r="V15" s="2" t="inlineStr">
        <is>
          <t>Talltita
Kungsfågel</t>
        </is>
      </c>
      <c r="W15">
        <f>HYPERLINK("https://klasma.github.io/Logging_0191/artfynd/A 64345-2023 artfynd.xlsx", "A 64345-2023")</f>
        <v/>
      </c>
      <c r="X15">
        <f>HYPERLINK("https://klasma.github.io/Logging_0191/kartor/A 64345-2023 karta.png", "A 64345-2023")</f>
        <v/>
      </c>
      <c r="Y15">
        <f>HYPERLINK("https://klasma.github.io/Logging_0191/kartor_geotiff/A 64345-2023 georefererad karta.tif", "A 64345-2023")</f>
        <v/>
      </c>
      <c r="AA15">
        <f>HYPERLINK("https://klasma.github.io/Logging_0191/klagomål/A 64345-2023 FSC-klagomål.docx", "A 64345-2023")</f>
        <v/>
      </c>
      <c r="AB15">
        <f>HYPERLINK("https://klasma.github.io/Logging_0191/klagomålsmail/A 64345-2023 FSC-klagomål mail.docx", "A 64345-2023")</f>
        <v/>
      </c>
      <c r="AC15">
        <f>HYPERLINK("https://klasma.github.io/Logging_0191/tillsyn/A 64345-2023 tillsynsbegäran.docx", "A 64345-2023")</f>
        <v/>
      </c>
      <c r="AD15">
        <f>HYPERLINK("https://klasma.github.io/Logging_0191/tillsynsmail/A 64345-2023 tillsynsbegäran mail.docx", "A 64345-2023")</f>
        <v/>
      </c>
      <c r="AE15">
        <f>HYPERLINK("https://klasma.github.io/Logging_0191/fåglar/A 64345-2023 prioriterade fågelarter.docx", "A 64345-2023")</f>
        <v/>
      </c>
    </row>
    <row r="16" ht="15" customHeight="1">
      <c r="A16" t="inlineStr">
        <is>
          <t>A 22874-2026</t>
        </is>
      </c>
      <c r="B16" t="inlineStr">
        <is>
          <t>avverkningsanmälan</t>
        </is>
      </c>
      <c r="C16" t="inlineStr">
        <is>
          <t>Föryngringsavverkning</t>
        </is>
      </c>
      <c r="D16" s="1" t="n">
        <v>46156</v>
      </c>
      <c r="E16" s="1" t="n">
        <v>46305</v>
      </c>
      <c r="F16" t="inlineStr">
        <is>
          <t>STOCKHOLMS LÄN</t>
        </is>
      </c>
      <c r="G16" t="inlineStr">
        <is>
          <t>SIGTUNA</t>
        </is>
      </c>
      <c r="H16" t="inlineStr">
        <is>
          <t>Kyrkan</t>
        </is>
      </c>
      <c r="I16" t="n">
        <v>9.199999999999999</v>
      </c>
      <c r="J16" t="n">
        <v>1</v>
      </c>
      <c r="K16" t="n">
        <v>0</v>
      </c>
      <c r="L16" t="n">
        <v>1</v>
      </c>
      <c r="M16" t="n">
        <v>0</v>
      </c>
      <c r="N16" t="n">
        <v>0</v>
      </c>
      <c r="O16" t="n">
        <v>0</v>
      </c>
      <c r="P16" t="n">
        <v>0</v>
      </c>
      <c r="Q16" t="n">
        <v>1</v>
      </c>
      <c r="R16" t="n">
        <v>0</v>
      </c>
      <c r="S16" t="n">
        <v>2</v>
      </c>
      <c r="T16" t="n">
        <v>2</v>
      </c>
      <c r="U16" t="n">
        <v>0</v>
      </c>
      <c r="V16" s="2" t="inlineStr">
        <is>
          <t>Kandelabersvamp
Blåsippa</t>
        </is>
      </c>
      <c r="W16">
        <f>HYPERLINK("https://klasma.github.io/Logging_0191/artfynd/A 22874-2026 artfynd.xlsx", "A 22874-2026")</f>
        <v/>
      </c>
      <c r="X16">
        <f>HYPERLINK("https://klasma.github.io/Logging_0191/kartor/A 22874-2026 karta.png", "A 22874-2026")</f>
        <v/>
      </c>
      <c r="Y16">
        <f>HYPERLINK("https://klasma.github.io/Logging_0191/kartor_geotiff/A 22874-2026 georefererad karta.tif", "A 22874-2026")</f>
        <v/>
      </c>
      <c r="AA16">
        <f>HYPERLINK("https://klasma.github.io/Logging_0191/klagomål/A 22874-2026 FSC-klagomål.docx", "A 22874-2026")</f>
        <v/>
      </c>
      <c r="AB16">
        <f>HYPERLINK("https://klasma.github.io/Logging_0191/klagomålsmail/A 22874-2026 FSC-klagomål mail.docx", "A 22874-2026")</f>
        <v/>
      </c>
      <c r="AC16">
        <f>HYPERLINK("https://klasma.github.io/Logging_0191/tillsyn/A 22874-2026 tillsynsbegäran.docx", "A 22874-2026")</f>
        <v/>
      </c>
      <c r="AD16">
        <f>HYPERLINK("https://klasma.github.io/Logging_0191/tillsynsmail/A 22874-2026 tillsynsbegäran mail.docx", "A 22874-2026")</f>
        <v/>
      </c>
    </row>
    <row r="17" ht="15" customHeight="1">
      <c r="A17" t="inlineStr">
        <is>
          <t>A 33751-2024</t>
        </is>
      </c>
      <c r="B17" t="inlineStr">
        <is>
          <t>avverkningsanmälan</t>
        </is>
      </c>
      <c r="C17" t="inlineStr">
        <is>
          <t>Avverkning för annat ändamål</t>
        </is>
      </c>
      <c r="D17" s="1" t="n">
        <v>45520</v>
      </c>
      <c r="E17" s="1" t="n">
        <v>46305</v>
      </c>
      <c r="F17" t="inlineStr">
        <is>
          <t>STOCKHOLMS LÄN</t>
        </is>
      </c>
      <c r="G17" t="inlineStr">
        <is>
          <t>SIGTUNA</t>
        </is>
      </c>
      <c r="H17" t="inlineStr">
        <is>
          <t>Allmännings- och besparingsskogar</t>
        </is>
      </c>
      <c r="I17" t="n">
        <v>1.5</v>
      </c>
      <c r="J17" t="n">
        <v>1</v>
      </c>
      <c r="K17" t="n">
        <v>0</v>
      </c>
      <c r="L17" t="n">
        <v>0</v>
      </c>
      <c r="M17" t="n">
        <v>1</v>
      </c>
      <c r="N17" t="n">
        <v>0</v>
      </c>
      <c r="O17" t="n">
        <v>0</v>
      </c>
      <c r="P17" t="n">
        <v>0</v>
      </c>
      <c r="Q17" t="n">
        <v>1</v>
      </c>
      <c r="R17" t="n">
        <v>1</v>
      </c>
      <c r="S17" t="n">
        <v>1</v>
      </c>
      <c r="T17" t="n">
        <v>2</v>
      </c>
      <c r="U17" t="n">
        <v>0</v>
      </c>
      <c r="V17" s="2" t="inlineStr">
        <is>
          <t>Grönfink</t>
        </is>
      </c>
      <c r="W17">
        <f>HYPERLINK("https://klasma.github.io/Logging_0191/artfynd/A 33751-2024 artfynd.xlsx", "A 33751-2024")</f>
        <v/>
      </c>
      <c r="X17">
        <f>HYPERLINK("https://klasma.github.io/Logging_0191/kartor/A 33751-2024 karta.png", "A 33751-2024")</f>
        <v/>
      </c>
      <c r="Y17">
        <f>HYPERLINK("https://klasma.github.io/Logging_0191/kartor_geotiff/A 33751-2024 georefererad karta.tif", "A 33751-2024")</f>
        <v/>
      </c>
      <c r="AA17">
        <f>HYPERLINK("https://klasma.github.io/Logging_0191/klagomål/A 33751-2024 FSC-klagomål.docx", "A 33751-2024")</f>
        <v/>
      </c>
      <c r="AB17">
        <f>HYPERLINK("https://klasma.github.io/Logging_0191/klagomålsmail/A 33751-2024 FSC-klagomål mail.docx", "A 33751-2024")</f>
        <v/>
      </c>
      <c r="AC17">
        <f>HYPERLINK("https://klasma.github.io/Logging_0191/tillsyn/A 33751-2024 tillsynsbegäran.docx", "A 33751-2024")</f>
        <v/>
      </c>
      <c r="AD17">
        <f>HYPERLINK("https://klasma.github.io/Logging_0191/tillsynsmail/A 33751-2024 tillsynsbegäran mail.docx", "A 33751-2024")</f>
        <v/>
      </c>
      <c r="AE17">
        <f>HYPERLINK("https://klasma.github.io/Logging_0191/fåglar/A 33751-2024 prioriterade fågelarter.docx", "A 33751-2024")</f>
        <v/>
      </c>
    </row>
    <row r="18" ht="15" customHeight="1">
      <c r="A18" t="inlineStr">
        <is>
          <t>A 39716-2023</t>
        </is>
      </c>
      <c r="B18" t="inlineStr">
        <is>
          <t>avverkningsanmälan</t>
        </is>
      </c>
      <c r="C18" t="inlineStr">
        <is>
          <t>Föryngringsavverkning</t>
        </is>
      </c>
      <c r="D18" s="1" t="n">
        <v>45166</v>
      </c>
      <c r="E18" s="1" t="n">
        <v>46305</v>
      </c>
      <c r="F18" t="inlineStr">
        <is>
          <t>STOCKHOLMS LÄN</t>
        </is>
      </c>
      <c r="G18" t="inlineStr">
        <is>
          <t>SIGTUNA</t>
        </is>
      </c>
      <c r="I18" t="n">
        <v>3.5</v>
      </c>
      <c r="J18" t="n">
        <v>1</v>
      </c>
      <c r="K18" t="n">
        <v>0</v>
      </c>
      <c r="L18" t="n">
        <v>0</v>
      </c>
      <c r="M18" t="n">
        <v>0</v>
      </c>
      <c r="N18" t="n">
        <v>1</v>
      </c>
      <c r="O18" t="n">
        <v>0</v>
      </c>
      <c r="P18" t="n">
        <v>0</v>
      </c>
      <c r="Q18" t="n">
        <v>1</v>
      </c>
      <c r="R18" t="n">
        <v>1</v>
      </c>
      <c r="S18" t="n">
        <v>1</v>
      </c>
      <c r="T18" t="n">
        <v>1</v>
      </c>
      <c r="U18" t="n">
        <v>0</v>
      </c>
      <c r="V18" s="2" t="inlineStr">
        <is>
          <t>Hornuggla</t>
        </is>
      </c>
      <c r="W18">
        <f>HYPERLINK("https://klasma.github.io/Logging_0191/artfynd/A 39716-2023 artfynd.xlsx", "A 39716-2023")</f>
        <v/>
      </c>
      <c r="X18">
        <f>HYPERLINK("https://klasma.github.io/Logging_0191/kartor/A 39716-2023 karta.png", "A 39716-2023")</f>
        <v/>
      </c>
      <c r="Y18">
        <f>HYPERLINK("https://klasma.github.io/Logging_0191/kartor_geotiff/A 39716-2023 georefererad karta.tif", "A 39716-2023")</f>
        <v/>
      </c>
      <c r="AA18">
        <f>HYPERLINK("https://klasma.github.io/Logging_0191/klagomål/A 39716-2023 FSC-klagomål.docx", "A 39716-2023")</f>
        <v/>
      </c>
      <c r="AB18">
        <f>HYPERLINK("https://klasma.github.io/Logging_0191/klagomålsmail/A 39716-2023 FSC-klagomål mail.docx", "A 39716-2023")</f>
        <v/>
      </c>
      <c r="AC18">
        <f>HYPERLINK("https://klasma.github.io/Logging_0191/tillsyn/A 39716-2023 tillsynsbegäran.docx", "A 39716-2023")</f>
        <v/>
      </c>
      <c r="AD18">
        <f>HYPERLINK("https://klasma.github.io/Logging_0191/tillsynsmail/A 39716-2023 tillsynsbegäran mail.docx", "A 39716-2023")</f>
        <v/>
      </c>
      <c r="AE18">
        <f>HYPERLINK("https://klasma.github.io/Logging_0191/fåglar/A 39716-2023 prioriterade fågelarter.docx", "A 39716-2023")</f>
        <v/>
      </c>
    </row>
    <row r="19" ht="15" customHeight="1">
      <c r="A19" t="inlineStr">
        <is>
          <t>A 15452-2023</t>
        </is>
      </c>
      <c r="B19" t="inlineStr">
        <is>
          <t>avverkningsanmälan</t>
        </is>
      </c>
      <c r="C19" t="inlineStr">
        <is>
          <t>Avverkning för annat ändamål</t>
        </is>
      </c>
      <c r="D19" s="1" t="n">
        <v>45020</v>
      </c>
      <c r="E19" s="1" t="n">
        <v>46305</v>
      </c>
      <c r="F19" t="inlineStr">
        <is>
          <t>STOCKHOLMS LÄN</t>
        </is>
      </c>
      <c r="G19" t="inlineStr">
        <is>
          <t>SIGTUNA</t>
        </is>
      </c>
      <c r="H19" t="inlineStr">
        <is>
          <t>Allmännings- och besparingsskogar</t>
        </is>
      </c>
      <c r="I19" t="n">
        <v>4.5</v>
      </c>
      <c r="J19" t="n">
        <v>1</v>
      </c>
      <c r="K19" t="n">
        <v>0</v>
      </c>
      <c r="L19" t="n">
        <v>0</v>
      </c>
      <c r="M19" t="n">
        <v>0</v>
      </c>
      <c r="N19" t="n">
        <v>0</v>
      </c>
      <c r="O19" t="n">
        <v>0</v>
      </c>
      <c r="P19" t="n">
        <v>0</v>
      </c>
      <c r="Q19" t="n">
        <v>0</v>
      </c>
      <c r="R19" t="n">
        <v>0</v>
      </c>
      <c r="S19" t="n">
        <v>1</v>
      </c>
      <c r="T19" t="n">
        <v>1</v>
      </c>
      <c r="U19" t="n">
        <v>1</v>
      </c>
      <c r="V19" s="2" t="inlineStr">
        <is>
          <t>Trana</t>
        </is>
      </c>
      <c r="W19">
        <f>HYPERLINK("https://klasma.github.io/Logging_0191/artfynd/A 15452-2023 artfynd.xlsx", "A 15452-2023")</f>
        <v/>
      </c>
      <c r="X19">
        <f>HYPERLINK("https://klasma.github.io/Logging_0191/kartor/A 15452-2023 karta.png", "A 15452-2023")</f>
        <v/>
      </c>
      <c r="Y19">
        <f>HYPERLINK("https://klasma.github.io/Logging_0191/kartor_geotiff/A 15452-2023 georefererad karta.tif", "A 15452-2023")</f>
        <v/>
      </c>
      <c r="AA19">
        <f>HYPERLINK("https://klasma.github.io/Logging_0191/klagomål/A 15452-2023 FSC-klagomål.docx", "A 15452-2023")</f>
        <v/>
      </c>
      <c r="AB19">
        <f>HYPERLINK("https://klasma.github.io/Logging_0191/klagomålsmail/A 15452-2023 FSC-klagomål mail.docx", "A 15452-2023")</f>
        <v/>
      </c>
      <c r="AC19">
        <f>HYPERLINK("https://klasma.github.io/Logging_0191/tillsyn/A 15452-2023 tillsynsbegäran.docx", "A 15452-2023")</f>
        <v/>
      </c>
      <c r="AD19">
        <f>HYPERLINK("https://klasma.github.io/Logging_0191/tillsynsmail/A 15452-2023 tillsynsbegäran mail.docx", "A 15452-2023")</f>
        <v/>
      </c>
      <c r="AE19">
        <f>HYPERLINK("https://klasma.github.io/Logging_0191/fåglar/A 15452-2023 prioriterade fågelarter.docx", "A 15452-2023")</f>
        <v/>
      </c>
    </row>
    <row r="20" ht="15" customHeight="1">
      <c r="A20" t="inlineStr">
        <is>
          <t>A 46757-2023</t>
        </is>
      </c>
      <c r="B20" t="inlineStr">
        <is>
          <t>avverkningsanmälan</t>
        </is>
      </c>
      <c r="C20" t="inlineStr">
        <is>
          <t>Avverkning för annat ändamål</t>
        </is>
      </c>
      <c r="D20" s="1" t="n">
        <v>45198</v>
      </c>
      <c r="E20" s="1" t="n">
        <v>46305</v>
      </c>
      <c r="F20" t="inlineStr">
        <is>
          <t>STOCKHOLMS LÄN</t>
        </is>
      </c>
      <c r="G20" t="inlineStr">
        <is>
          <t>SIGTUNA</t>
        </is>
      </c>
      <c r="I20" t="n">
        <v>5.3</v>
      </c>
      <c r="J20" t="n">
        <v>1</v>
      </c>
      <c r="K20" t="n">
        <v>0</v>
      </c>
      <c r="L20" t="n">
        <v>1</v>
      </c>
      <c r="M20" t="n">
        <v>0</v>
      </c>
      <c r="N20" t="n">
        <v>0</v>
      </c>
      <c r="O20" t="n">
        <v>0</v>
      </c>
      <c r="P20" t="n">
        <v>0</v>
      </c>
      <c r="Q20" t="n">
        <v>1</v>
      </c>
      <c r="R20" t="n">
        <v>0</v>
      </c>
      <c r="S20" t="n">
        <v>1</v>
      </c>
      <c r="T20" t="n">
        <v>1</v>
      </c>
      <c r="U20" t="n">
        <v>0</v>
      </c>
      <c r="V20" s="2" t="inlineStr">
        <is>
          <t>Gulsparv</t>
        </is>
      </c>
      <c r="W20">
        <f>HYPERLINK("https://klasma.github.io/Logging_0191/artfynd/A 46757-2023 artfynd.xlsx", "A 46757-2023")</f>
        <v/>
      </c>
      <c r="X20">
        <f>HYPERLINK("https://klasma.github.io/Logging_0191/kartor/A 46757-2023 karta.png", "A 46757-2023")</f>
        <v/>
      </c>
      <c r="Y20">
        <f>HYPERLINK("https://klasma.github.io/Logging_0191/kartor_geotiff/A 46757-2023 georefererad karta.tif", "A 46757-2023")</f>
        <v/>
      </c>
      <c r="AA20">
        <f>HYPERLINK("https://klasma.github.io/Logging_0191/klagomål/A 46757-2023 FSC-klagomål.docx", "A 46757-2023")</f>
        <v/>
      </c>
      <c r="AB20">
        <f>HYPERLINK("https://klasma.github.io/Logging_0191/klagomålsmail/A 46757-2023 FSC-klagomål mail.docx", "A 46757-2023")</f>
        <v/>
      </c>
      <c r="AC20">
        <f>HYPERLINK("https://klasma.github.io/Logging_0191/tillsyn/A 46757-2023 tillsynsbegäran.docx", "A 46757-2023")</f>
        <v/>
      </c>
      <c r="AD20">
        <f>HYPERLINK("https://klasma.github.io/Logging_0191/tillsynsmail/A 46757-2023 tillsynsbegäran mail.docx", "A 46757-2023")</f>
        <v/>
      </c>
      <c r="AE20">
        <f>HYPERLINK("https://klasma.github.io/Logging_0191/fåglar/A 46757-2023 prioriterade fågelarter.docx", "A 46757-2023")</f>
        <v/>
      </c>
    </row>
    <row r="21" ht="15" customHeight="1">
      <c r="A21" t="inlineStr">
        <is>
          <t>A 6893-2026</t>
        </is>
      </c>
      <c r="B21" t="inlineStr">
        <is>
          <t>avverkningsanmälan</t>
        </is>
      </c>
      <c r="C21" t="inlineStr">
        <is>
          <t>Föryngringsavverkning</t>
        </is>
      </c>
      <c r="D21" s="1" t="n">
        <v>46057</v>
      </c>
      <c r="E21" s="1" t="n">
        <v>46305</v>
      </c>
      <c r="F21" t="inlineStr">
        <is>
          <t>STOCKHOLMS LÄN</t>
        </is>
      </c>
      <c r="G21" t="inlineStr">
        <is>
          <t>SIGTUNA</t>
        </is>
      </c>
      <c r="I21" t="n">
        <v>3</v>
      </c>
      <c r="J21" t="n">
        <v>0</v>
      </c>
      <c r="K21" t="n">
        <v>0</v>
      </c>
      <c r="L21" t="n">
        <v>1</v>
      </c>
      <c r="M21" t="n">
        <v>0</v>
      </c>
      <c r="N21" t="n">
        <v>0</v>
      </c>
      <c r="O21" t="n">
        <v>0</v>
      </c>
      <c r="P21" t="n">
        <v>0</v>
      </c>
      <c r="Q21" t="n">
        <v>1</v>
      </c>
      <c r="R21" t="n">
        <v>0</v>
      </c>
      <c r="S21" t="n">
        <v>1</v>
      </c>
      <c r="T21" t="n">
        <v>1</v>
      </c>
      <c r="U21" t="n">
        <v>0</v>
      </c>
      <c r="V21" s="2" t="inlineStr">
        <is>
          <t>Gullklöver</t>
        </is>
      </c>
      <c r="W21">
        <f>HYPERLINK("https://klasma.github.io/Logging_0191/artfynd/A 6893-2026 artfynd.xlsx", "A 6893-2026")</f>
        <v/>
      </c>
      <c r="X21">
        <f>HYPERLINK("https://klasma.github.io/Logging_0191/kartor/A 6893-2026 karta.png", "A 6893-2026")</f>
        <v/>
      </c>
      <c r="Y21">
        <f>HYPERLINK("https://klasma.github.io/Logging_0191/kartor_geotiff/A 6893-2026 georefererad karta.tif", "A 6893-2026")</f>
        <v/>
      </c>
      <c r="AA21">
        <f>HYPERLINK("https://klasma.github.io/Logging_0191/klagomål/A 6893-2026 FSC-klagomål.docx", "A 6893-2026")</f>
        <v/>
      </c>
      <c r="AB21">
        <f>HYPERLINK("https://klasma.github.io/Logging_0191/klagomålsmail/A 6893-2026 FSC-klagomål mail.docx", "A 6893-2026")</f>
        <v/>
      </c>
      <c r="AC21">
        <f>HYPERLINK("https://klasma.github.io/Logging_0191/tillsyn/A 6893-2026 tillsynsbegäran.docx", "A 6893-2026")</f>
        <v/>
      </c>
      <c r="AD21">
        <f>HYPERLINK("https://klasma.github.io/Logging_0191/tillsynsmail/A 6893-2026 tillsynsbegäran mail.docx", "A 6893-2026")</f>
        <v/>
      </c>
    </row>
    <row r="22" ht="15" customHeight="1">
      <c r="A22" t="inlineStr">
        <is>
          <t>A 37339-2026</t>
        </is>
      </c>
      <c r="B22" t="inlineStr">
        <is>
          <t>avverkningsanmälan</t>
        </is>
      </c>
      <c r="C22" t="inlineStr">
        <is>
          <t>Föryngringsavverkning</t>
        </is>
      </c>
      <c r="D22" s="1" t="n">
        <v>46275</v>
      </c>
      <c r="E22" s="1" t="n">
        <v>46305</v>
      </c>
      <c r="F22" t="inlineStr">
        <is>
          <t>STOCKHOLMS LÄN</t>
        </is>
      </c>
      <c r="G22" t="inlineStr">
        <is>
          <t>SIGTUNA</t>
        </is>
      </c>
      <c r="I22" t="n">
        <v>3.6</v>
      </c>
      <c r="J22" t="n">
        <v>0</v>
      </c>
      <c r="K22" t="n">
        <v>0</v>
      </c>
      <c r="L22" t="n">
        <v>0</v>
      </c>
      <c r="M22" t="n">
        <v>1</v>
      </c>
      <c r="N22" t="n">
        <v>0</v>
      </c>
      <c r="O22" t="n">
        <v>0</v>
      </c>
      <c r="P22" t="n">
        <v>0</v>
      </c>
      <c r="Q22" t="n">
        <v>1</v>
      </c>
      <c r="R22" t="n">
        <v>1</v>
      </c>
      <c r="S22" t="n">
        <v>1</v>
      </c>
      <c r="T22" t="n">
        <v>1</v>
      </c>
      <c r="U22" t="n">
        <v>1</v>
      </c>
      <c r="V22" s="2" t="inlineStr">
        <is>
          <t>Svartfjällig musseron</t>
        </is>
      </c>
      <c r="W22">
        <f>HYPERLINK("https://klasma.github.io/Logging_0191/artfynd/A 37339-2026 artfynd.xlsx", "A 37339-2026")</f>
        <v/>
      </c>
      <c r="X22">
        <f>HYPERLINK("https://klasma.github.io/Logging_0191/kartor/A 37339-2026 karta.png", "A 37339-2026")</f>
        <v/>
      </c>
      <c r="Y22">
        <f>HYPERLINK("https://klasma.github.io/Logging_0191/kartor_geotiff/A 37339-2026 georefererad karta.tif", "A 37339-2026")</f>
        <v/>
      </c>
      <c r="AA22">
        <f>HYPERLINK("https://klasma.github.io/Logging_0191/klagomål/A 37339-2026 FSC-klagomål.docx", "A 37339-2026")</f>
        <v/>
      </c>
      <c r="AB22">
        <f>HYPERLINK("https://klasma.github.io/Logging_0191/klagomålsmail/A 37339-2026 FSC-klagomål mail.docx", "A 37339-2026")</f>
        <v/>
      </c>
      <c r="AC22">
        <f>HYPERLINK("https://klasma.github.io/Logging_0191/tillsyn/A 37339-2026 tillsynsbegäran.docx", "A 37339-2026")</f>
        <v/>
      </c>
      <c r="AD22">
        <f>HYPERLINK("https://klasma.github.io/Logging_0191/tillsynsmail/A 37339-2026 tillsynsbegäran mail.docx", "A 37339-2026")</f>
        <v/>
      </c>
    </row>
    <row r="23" ht="15" customHeight="1">
      <c r="A23" t="inlineStr">
        <is>
          <t>A 9750-2022</t>
        </is>
      </c>
      <c r="B23" t="inlineStr">
        <is>
          <t>avverkningsanmälan</t>
        </is>
      </c>
      <c r="C23" t="inlineStr">
        <is>
          <t>Föryngringsavverkning</t>
        </is>
      </c>
      <c r="D23" s="1" t="n">
        <v>44618</v>
      </c>
      <c r="E23" s="1" t="n">
        <v>46305</v>
      </c>
      <c r="F23" t="inlineStr">
        <is>
          <t>STOCKHOLMS LÄN</t>
        </is>
      </c>
      <c r="G23" t="inlineStr">
        <is>
          <t>SIGTUNA</t>
        </is>
      </c>
      <c r="I23" t="n">
        <v>10.8</v>
      </c>
      <c r="J23" t="n">
        <v>0</v>
      </c>
      <c r="K23" t="n">
        <v>0</v>
      </c>
      <c r="L23" t="n">
        <v>0</v>
      </c>
      <c r="M23" t="n">
        <v>0</v>
      </c>
      <c r="N23" t="n">
        <v>0</v>
      </c>
      <c r="O23" t="n">
        <v>0</v>
      </c>
      <c r="P23" t="n">
        <v>0</v>
      </c>
      <c r="Q23" t="n">
        <v>0</v>
      </c>
      <c r="R23" t="n">
        <v>0</v>
      </c>
      <c r="S23" t="n">
        <v>0</v>
      </c>
      <c r="T23" t="n">
        <v>0</v>
      </c>
      <c r="U23" t="n">
        <v>0</v>
      </c>
      <c r="V23" s="2" t="inlineStr"/>
    </row>
    <row r="24" ht="15" customHeight="1">
      <c r="A24" t="inlineStr">
        <is>
          <t>A 9767-2022</t>
        </is>
      </c>
      <c r="B24" t="inlineStr">
        <is>
          <t>avverkningsanmälan</t>
        </is>
      </c>
      <c r="C24" t="inlineStr">
        <is>
          <t>Föryngringsavverkning</t>
        </is>
      </c>
      <c r="D24" s="1" t="n">
        <v>44619</v>
      </c>
      <c r="E24" s="1" t="n">
        <v>46305</v>
      </c>
      <c r="F24" t="inlineStr">
        <is>
          <t>STOCKHOLMS LÄN</t>
        </is>
      </c>
      <c r="G24" t="inlineStr">
        <is>
          <t>SIGTUNA</t>
        </is>
      </c>
      <c r="I24" t="n">
        <v>2.4</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46305</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65340-2021</t>
        </is>
      </c>
      <c r="B26" t="inlineStr">
        <is>
          <t>avverkningsanmälan</t>
        </is>
      </c>
      <c r="C26" t="inlineStr">
        <is>
          <t>Avverkning för annat ändamål</t>
        </is>
      </c>
      <c r="D26" s="1" t="n">
        <v>44515</v>
      </c>
      <c r="E26" s="1" t="n">
        <v>46305</v>
      </c>
      <c r="F26" t="inlineStr">
        <is>
          <t>STOCKHOLMS LÄN</t>
        </is>
      </c>
      <c r="G26" t="inlineStr">
        <is>
          <t>SIGTUNA</t>
        </is>
      </c>
      <c r="H26" t="inlineStr">
        <is>
          <t>Kyrkan</t>
        </is>
      </c>
      <c r="I26" t="n">
        <v>0.2</v>
      </c>
      <c r="J26" t="n">
        <v>0</v>
      </c>
      <c r="K26" t="n">
        <v>0</v>
      </c>
      <c r="L26" t="n">
        <v>0</v>
      </c>
      <c r="M26" t="n">
        <v>0</v>
      </c>
      <c r="N26" t="n">
        <v>0</v>
      </c>
      <c r="O26" t="n">
        <v>0</v>
      </c>
      <c r="P26" t="n">
        <v>0</v>
      </c>
      <c r="Q26" t="n">
        <v>0</v>
      </c>
      <c r="R26" t="n">
        <v>0</v>
      </c>
      <c r="S26" t="n">
        <v>0</v>
      </c>
      <c r="T26" t="n">
        <v>0</v>
      </c>
      <c r="U26" t="n">
        <v>0</v>
      </c>
      <c r="V26" s="2" t="inlineStr"/>
    </row>
    <row r="27" ht="15" customHeight="1">
      <c r="A27" t="inlineStr">
        <is>
          <t>A 5142-2024</t>
        </is>
      </c>
      <c r="B27" t="inlineStr">
        <is>
          <t>avverkningsanmälan</t>
        </is>
      </c>
      <c r="C27" t="inlineStr">
        <is>
          <t>Avverkning för annat ändamål</t>
        </is>
      </c>
      <c r="D27" s="1" t="n">
        <v>45330</v>
      </c>
      <c r="E27" s="1" t="n">
        <v>46305</v>
      </c>
      <c r="F27" t="inlineStr">
        <is>
          <t>STOCKHOLMS LÄN</t>
        </is>
      </c>
      <c r="G27" t="inlineStr">
        <is>
          <t>SIGTUNA</t>
        </is>
      </c>
      <c r="I27" t="n">
        <v>0.5</v>
      </c>
      <c r="J27" t="n">
        <v>0</v>
      </c>
      <c r="K27" t="n">
        <v>0</v>
      </c>
      <c r="L27" t="n">
        <v>0</v>
      </c>
      <c r="M27" t="n">
        <v>0</v>
      </c>
      <c r="N27" t="n">
        <v>0</v>
      </c>
      <c r="O27" t="n">
        <v>0</v>
      </c>
      <c r="P27" t="n">
        <v>0</v>
      </c>
      <c r="Q27" t="n">
        <v>0</v>
      </c>
      <c r="R27" t="n">
        <v>0</v>
      </c>
      <c r="S27" t="n">
        <v>0</v>
      </c>
      <c r="T27" t="n">
        <v>0</v>
      </c>
      <c r="U27" t="n">
        <v>0</v>
      </c>
      <c r="V27" s="2" t="inlineStr"/>
    </row>
    <row r="28" ht="15" customHeight="1">
      <c r="A28" t="inlineStr">
        <is>
          <t>A 37392-2024</t>
        </is>
      </c>
      <c r="B28" t="inlineStr">
        <is>
          <t>avverkningsanmälan</t>
        </is>
      </c>
      <c r="C28" t="inlineStr">
        <is>
          <t>Föryngringsavverkning</t>
        </is>
      </c>
      <c r="D28" s="1" t="n">
        <v>45540</v>
      </c>
      <c r="E28" s="1" t="n">
        <v>46305</v>
      </c>
      <c r="F28" t="inlineStr">
        <is>
          <t>STOCKHOLMS LÄN</t>
        </is>
      </c>
      <c r="G28" t="inlineStr">
        <is>
          <t>SIGTUNA</t>
        </is>
      </c>
      <c r="I28" t="n">
        <v>2.1</v>
      </c>
      <c r="J28" t="n">
        <v>0</v>
      </c>
      <c r="K28" t="n">
        <v>0</v>
      </c>
      <c r="L28" t="n">
        <v>0</v>
      </c>
      <c r="M28" t="n">
        <v>0</v>
      </c>
      <c r="N28" t="n">
        <v>0</v>
      </c>
      <c r="O28" t="n">
        <v>0</v>
      </c>
      <c r="P28" t="n">
        <v>0</v>
      </c>
      <c r="Q28" t="n">
        <v>0</v>
      </c>
      <c r="R28" t="n">
        <v>0</v>
      </c>
      <c r="S28" t="n">
        <v>0</v>
      </c>
      <c r="T28" t="n">
        <v>0</v>
      </c>
      <c r="U28" t="n">
        <v>0</v>
      </c>
      <c r="V28" s="2" t="inlineStr"/>
    </row>
    <row r="29" ht="15" customHeight="1">
      <c r="A29" t="inlineStr">
        <is>
          <t>A 20957-2023</t>
        </is>
      </c>
      <c r="B29" t="inlineStr">
        <is>
          <t>avverkningsanmälan</t>
        </is>
      </c>
      <c r="C29" t="inlineStr">
        <is>
          <t>Föryngringsavverkning</t>
        </is>
      </c>
      <c r="D29" s="1" t="n">
        <v>45061</v>
      </c>
      <c r="E29" s="1" t="n">
        <v>46305</v>
      </c>
      <c r="F29" t="inlineStr">
        <is>
          <t>STOCKHOLMS LÄN</t>
        </is>
      </c>
      <c r="G29" t="inlineStr">
        <is>
          <t>SIGTUNA</t>
        </is>
      </c>
      <c r="I29" t="n">
        <v>0.3</v>
      </c>
      <c r="J29" t="n">
        <v>0</v>
      </c>
      <c r="K29" t="n">
        <v>0</v>
      </c>
      <c r="L29" t="n">
        <v>0</v>
      </c>
      <c r="M29" t="n">
        <v>0</v>
      </c>
      <c r="N29" t="n">
        <v>0</v>
      </c>
      <c r="O29" t="n">
        <v>0</v>
      </c>
      <c r="P29" t="n">
        <v>0</v>
      </c>
      <c r="Q29" t="n">
        <v>0</v>
      </c>
      <c r="R29" t="n">
        <v>0</v>
      </c>
      <c r="S29" t="n">
        <v>0</v>
      </c>
      <c r="T29" t="n">
        <v>0</v>
      </c>
      <c r="U29" t="n">
        <v>0</v>
      </c>
      <c r="V29" s="2" t="inlineStr"/>
    </row>
    <row r="30" ht="15" customHeight="1">
      <c r="A30" t="inlineStr">
        <is>
          <t>A 38465-2023</t>
        </is>
      </c>
      <c r="B30" t="inlineStr">
        <is>
          <t>avverkningsanmälan</t>
        </is>
      </c>
      <c r="C30" t="inlineStr">
        <is>
          <t>Föryngringsavverkning</t>
        </is>
      </c>
      <c r="D30" s="1" t="n">
        <v>45162</v>
      </c>
      <c r="E30" s="1" t="n">
        <v>46305</v>
      </c>
      <c r="F30" t="inlineStr">
        <is>
          <t>STOCKHOLMS LÄN</t>
        </is>
      </c>
      <c r="G30" t="inlineStr">
        <is>
          <t>SIGTUNA</t>
        </is>
      </c>
      <c r="I30" t="n">
        <v>0.7</v>
      </c>
      <c r="J30" t="n">
        <v>0</v>
      </c>
      <c r="K30" t="n">
        <v>0</v>
      </c>
      <c r="L30" t="n">
        <v>0</v>
      </c>
      <c r="M30" t="n">
        <v>0</v>
      </c>
      <c r="N30" t="n">
        <v>0</v>
      </c>
      <c r="O30" t="n">
        <v>0</v>
      </c>
      <c r="P30" t="n">
        <v>0</v>
      </c>
      <c r="Q30" t="n">
        <v>0</v>
      </c>
      <c r="R30" t="n">
        <v>0</v>
      </c>
      <c r="S30" t="n">
        <v>0</v>
      </c>
      <c r="T30" t="n">
        <v>0</v>
      </c>
      <c r="U30" t="n">
        <v>0</v>
      </c>
      <c r="V30" s="2" t="inlineStr"/>
    </row>
    <row r="31" ht="15" customHeight="1">
      <c r="A31" t="inlineStr">
        <is>
          <t>A 58619-2023</t>
        </is>
      </c>
      <c r="B31" t="inlineStr">
        <is>
          <t>avverkningsanmälan</t>
        </is>
      </c>
      <c r="C31" t="inlineStr">
        <is>
          <t>Föryngringsavverkning</t>
        </is>
      </c>
      <c r="D31" s="1" t="n">
        <v>45251</v>
      </c>
      <c r="E31" s="1" t="n">
        <v>46305</v>
      </c>
      <c r="F31" t="inlineStr">
        <is>
          <t>STOCKHOLMS LÄN</t>
        </is>
      </c>
      <c r="G31" t="inlineStr">
        <is>
          <t>SIGTUNA</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31684-2022</t>
        </is>
      </c>
      <c r="B32" t="inlineStr">
        <is>
          <t>avverkningsanmälan</t>
        </is>
      </c>
      <c r="C32" t="inlineStr">
        <is>
          <t>Avverkning för att bevara och utveckla /försöksver</t>
        </is>
      </c>
      <c r="D32" s="1" t="n">
        <v>44776</v>
      </c>
      <c r="E32" s="1" t="n">
        <v>46305</v>
      </c>
      <c r="F32" t="inlineStr">
        <is>
          <t>STOCKHOLMS LÄN</t>
        </is>
      </c>
      <c r="G32" t="inlineStr">
        <is>
          <t>SIGTUNA</t>
        </is>
      </c>
      <c r="H32" t="inlineStr">
        <is>
          <t>Kommuner</t>
        </is>
      </c>
      <c r="I32" t="n">
        <v>2.5</v>
      </c>
      <c r="J32" t="n">
        <v>0</v>
      </c>
      <c r="K32" t="n">
        <v>0</v>
      </c>
      <c r="L32" t="n">
        <v>0</v>
      </c>
      <c r="M32" t="n">
        <v>0</v>
      </c>
      <c r="N32" t="n">
        <v>0</v>
      </c>
      <c r="O32" t="n">
        <v>0</v>
      </c>
      <c r="P32" t="n">
        <v>0</v>
      </c>
      <c r="Q32" t="n">
        <v>0</v>
      </c>
      <c r="R32" t="n">
        <v>0</v>
      </c>
      <c r="S32" t="n">
        <v>0</v>
      </c>
      <c r="T32" t="n">
        <v>0</v>
      </c>
      <c r="U32" t="n">
        <v>0</v>
      </c>
      <c r="V32" s="2" t="inlineStr"/>
    </row>
    <row r="33" ht="15" customHeight="1">
      <c r="A33" t="inlineStr">
        <is>
          <t>A 43700-2023</t>
        </is>
      </c>
      <c r="B33" t="inlineStr">
        <is>
          <t>avverkningsanmälan</t>
        </is>
      </c>
      <c r="C33" t="inlineStr">
        <is>
          <t>Föryngringsavverkning</t>
        </is>
      </c>
      <c r="D33" s="1" t="n">
        <v>45187</v>
      </c>
      <c r="E33" s="1" t="n">
        <v>46305</v>
      </c>
      <c r="F33" t="inlineStr">
        <is>
          <t>STOCKHOLMS LÄN</t>
        </is>
      </c>
      <c r="G33" t="inlineStr">
        <is>
          <t>SIGTUNA</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49592-2023</t>
        </is>
      </c>
      <c r="B34" t="inlineStr">
        <is>
          <t>avverkningsanmälan</t>
        </is>
      </c>
      <c r="C34" t="inlineStr">
        <is>
          <t>Föryngringsavverkning</t>
        </is>
      </c>
      <c r="D34" s="1" t="n">
        <v>45211</v>
      </c>
      <c r="E34" s="1" t="n">
        <v>46305</v>
      </c>
      <c r="F34" t="inlineStr">
        <is>
          <t>STOCKHOLMS LÄN</t>
        </is>
      </c>
      <c r="G34" t="inlineStr">
        <is>
          <t>SIGTUNA</t>
        </is>
      </c>
      <c r="I34" t="n">
        <v>0.5</v>
      </c>
      <c r="J34" t="n">
        <v>0</v>
      </c>
      <c r="K34" t="n">
        <v>0</v>
      </c>
      <c r="L34" t="n">
        <v>0</v>
      </c>
      <c r="M34" t="n">
        <v>0</v>
      </c>
      <c r="N34" t="n">
        <v>0</v>
      </c>
      <c r="O34" t="n">
        <v>0</v>
      </c>
      <c r="P34" t="n">
        <v>0</v>
      </c>
      <c r="Q34" t="n">
        <v>0</v>
      </c>
      <c r="R34" t="n">
        <v>0</v>
      </c>
      <c r="S34" t="n">
        <v>0</v>
      </c>
      <c r="T34" t="n">
        <v>0</v>
      </c>
      <c r="U34" t="n">
        <v>0</v>
      </c>
      <c r="V34" s="2" t="inlineStr"/>
    </row>
    <row r="35" ht="15" customHeight="1">
      <c r="A35" t="inlineStr">
        <is>
          <t>A 72530-2021</t>
        </is>
      </c>
      <c r="B35" t="inlineStr">
        <is>
          <t>avverkningsanmälan</t>
        </is>
      </c>
      <c r="C35" t="inlineStr">
        <is>
          <t>Avverkning för annat ändamål</t>
        </is>
      </c>
      <c r="D35" s="1" t="n">
        <v>44546</v>
      </c>
      <c r="E35" s="1" t="n">
        <v>46305</v>
      </c>
      <c r="F35" t="inlineStr">
        <is>
          <t>STOCKHOLMS LÄN</t>
        </is>
      </c>
      <c r="G35" t="inlineStr">
        <is>
          <t>SIGTUNA</t>
        </is>
      </c>
      <c r="I35" t="n">
        <v>2</v>
      </c>
      <c r="J35" t="n">
        <v>0</v>
      </c>
      <c r="K35" t="n">
        <v>0</v>
      </c>
      <c r="L35" t="n">
        <v>0</v>
      </c>
      <c r="M35" t="n">
        <v>0</v>
      </c>
      <c r="N35" t="n">
        <v>0</v>
      </c>
      <c r="O35" t="n">
        <v>0</v>
      </c>
      <c r="P35" t="n">
        <v>0</v>
      </c>
      <c r="Q35" t="n">
        <v>0</v>
      </c>
      <c r="R35" t="n">
        <v>0</v>
      </c>
      <c r="S35" t="n">
        <v>0</v>
      </c>
      <c r="T35" t="n">
        <v>0</v>
      </c>
      <c r="U35" t="n">
        <v>0</v>
      </c>
      <c r="V35" s="2" t="inlineStr"/>
    </row>
    <row r="36" ht="15" customHeight="1">
      <c r="A36" t="inlineStr">
        <is>
          <t>A 59168-2022</t>
        </is>
      </c>
      <c r="B36" t="inlineStr">
        <is>
          <t>avverkningsanmälan</t>
        </is>
      </c>
      <c r="C36" t="inlineStr">
        <is>
          <t>Föryngringsavverkning</t>
        </is>
      </c>
      <c r="D36" s="1" t="n">
        <v>44904</v>
      </c>
      <c r="E36" s="1" t="n">
        <v>46305</v>
      </c>
      <c r="F36" t="inlineStr">
        <is>
          <t>STOCKHOLMS LÄN</t>
        </is>
      </c>
      <c r="G36" t="inlineStr">
        <is>
          <t>SIGTUNA</t>
        </is>
      </c>
      <c r="I36" t="n">
        <v>0.8</v>
      </c>
      <c r="J36" t="n">
        <v>0</v>
      </c>
      <c r="K36" t="n">
        <v>0</v>
      </c>
      <c r="L36" t="n">
        <v>0</v>
      </c>
      <c r="M36" t="n">
        <v>0</v>
      </c>
      <c r="N36" t="n">
        <v>0</v>
      </c>
      <c r="O36" t="n">
        <v>0</v>
      </c>
      <c r="P36" t="n">
        <v>0</v>
      </c>
      <c r="Q36" t="n">
        <v>0</v>
      </c>
      <c r="R36" t="n">
        <v>0</v>
      </c>
      <c r="S36" t="n">
        <v>0</v>
      </c>
      <c r="T36" t="n">
        <v>0</v>
      </c>
      <c r="U36" t="n">
        <v>0</v>
      </c>
      <c r="V36" s="2" t="inlineStr"/>
    </row>
    <row r="37" ht="15" customHeight="1">
      <c r="A37" t="inlineStr">
        <is>
          <t>A 60865-2024</t>
        </is>
      </c>
      <c r="B37" t="inlineStr">
        <is>
          <t>avverkningsanmälan</t>
        </is>
      </c>
      <c r="C37" t="inlineStr">
        <is>
          <t>Föryngringsavverkning</t>
        </is>
      </c>
      <c r="D37" s="1" t="n">
        <v>45644</v>
      </c>
      <c r="E37" s="1" t="n">
        <v>46305</v>
      </c>
      <c r="F37" t="inlineStr">
        <is>
          <t>STOCKHOLMS LÄN</t>
        </is>
      </c>
      <c r="G37" t="inlineStr">
        <is>
          <t>SIGTUNA</t>
        </is>
      </c>
      <c r="I37" t="n">
        <v>0.2</v>
      </c>
      <c r="J37" t="n">
        <v>0</v>
      </c>
      <c r="K37" t="n">
        <v>0</v>
      </c>
      <c r="L37" t="n">
        <v>0</v>
      </c>
      <c r="M37" t="n">
        <v>0</v>
      </c>
      <c r="N37" t="n">
        <v>0</v>
      </c>
      <c r="O37" t="n">
        <v>0</v>
      </c>
      <c r="P37" t="n">
        <v>0</v>
      </c>
      <c r="Q37" t="n">
        <v>0</v>
      </c>
      <c r="R37" t="n">
        <v>0</v>
      </c>
      <c r="S37" t="n">
        <v>0</v>
      </c>
      <c r="T37" t="n">
        <v>0</v>
      </c>
      <c r="U37" t="n">
        <v>0</v>
      </c>
      <c r="V37" s="2" t="inlineStr"/>
    </row>
    <row r="38" ht="15" customHeight="1">
      <c r="A38" t="inlineStr">
        <is>
          <t>A 9120-2025</t>
        </is>
      </c>
      <c r="B38" t="inlineStr">
        <is>
          <t>avverkningsanmälan</t>
        </is>
      </c>
      <c r="C38" t="inlineStr">
        <is>
          <t>Föryngringsavverkning</t>
        </is>
      </c>
      <c r="D38" s="1" t="n">
        <v>45713</v>
      </c>
      <c r="E38" s="1" t="n">
        <v>46305</v>
      </c>
      <c r="F38" t="inlineStr">
        <is>
          <t>STOCKHOLMS LÄN</t>
        </is>
      </c>
      <c r="G38" t="inlineStr">
        <is>
          <t>SIGTUNA</t>
        </is>
      </c>
      <c r="H38" t="inlineStr">
        <is>
          <t>Allmännings- och besparingsskogar</t>
        </is>
      </c>
      <c r="I38" t="n">
        <v>9.699999999999999</v>
      </c>
      <c r="J38" t="n">
        <v>0</v>
      </c>
      <c r="K38" t="n">
        <v>0</v>
      </c>
      <c r="L38" t="n">
        <v>0</v>
      </c>
      <c r="M38" t="n">
        <v>0</v>
      </c>
      <c r="N38" t="n">
        <v>0</v>
      </c>
      <c r="O38" t="n">
        <v>0</v>
      </c>
      <c r="P38" t="n">
        <v>0</v>
      </c>
      <c r="Q38" t="n">
        <v>0</v>
      </c>
      <c r="R38" t="n">
        <v>0</v>
      </c>
      <c r="S38" t="n">
        <v>0</v>
      </c>
      <c r="T38" t="n">
        <v>0</v>
      </c>
      <c r="U38" t="n">
        <v>0</v>
      </c>
      <c r="V38" s="2" t="inlineStr"/>
    </row>
    <row r="39" ht="15" customHeight="1">
      <c r="A39" t="inlineStr">
        <is>
          <t>A 74170-2021</t>
        </is>
      </c>
      <c r="B39" t="inlineStr">
        <is>
          <t>avverkningsanmälan</t>
        </is>
      </c>
      <c r="C39" t="inlineStr">
        <is>
          <t>Föryngringsavverkning</t>
        </is>
      </c>
      <c r="D39" s="1" t="n">
        <v>44557</v>
      </c>
      <c r="E39" s="1" t="n">
        <v>46305</v>
      </c>
      <c r="F39" t="inlineStr">
        <is>
          <t>STOCKHOLMS LÄN</t>
        </is>
      </c>
      <c r="G39" t="inlineStr">
        <is>
          <t>SIGTUNA</t>
        </is>
      </c>
      <c r="I39" t="n">
        <v>1.1</v>
      </c>
      <c r="J39" t="n">
        <v>0</v>
      </c>
      <c r="K39" t="n">
        <v>0</v>
      </c>
      <c r="L39" t="n">
        <v>0</v>
      </c>
      <c r="M39" t="n">
        <v>0</v>
      </c>
      <c r="N39" t="n">
        <v>0</v>
      </c>
      <c r="O39" t="n">
        <v>0</v>
      </c>
      <c r="P39" t="n">
        <v>0</v>
      </c>
      <c r="Q39" t="n">
        <v>0</v>
      </c>
      <c r="R39" t="n">
        <v>0</v>
      </c>
      <c r="S39" t="n">
        <v>0</v>
      </c>
      <c r="T39" t="n">
        <v>0</v>
      </c>
      <c r="U39" t="n">
        <v>0</v>
      </c>
      <c r="V39" s="2" t="inlineStr"/>
    </row>
    <row r="40" ht="15" customHeight="1">
      <c r="A40" t="inlineStr">
        <is>
          <t>A 24967-2024</t>
        </is>
      </c>
      <c r="B40" t="inlineStr">
        <is>
          <t>avverkningsanmälan</t>
        </is>
      </c>
      <c r="C40" t="inlineStr">
        <is>
          <t>Föryngringsavverkning</t>
        </is>
      </c>
      <c r="D40" s="1" t="n">
        <v>45461</v>
      </c>
      <c r="E40" s="1" t="n">
        <v>46305</v>
      </c>
      <c r="F40" t="inlineStr">
        <is>
          <t>STOCKHOLMS LÄN</t>
        </is>
      </c>
      <c r="G40" t="inlineStr">
        <is>
          <t>SIGTUNA</t>
        </is>
      </c>
      <c r="I40" t="n">
        <v>3.5</v>
      </c>
      <c r="J40" t="n">
        <v>0</v>
      </c>
      <c r="K40" t="n">
        <v>0</v>
      </c>
      <c r="L40" t="n">
        <v>0</v>
      </c>
      <c r="M40" t="n">
        <v>0</v>
      </c>
      <c r="N40" t="n">
        <v>0</v>
      </c>
      <c r="O40" t="n">
        <v>0</v>
      </c>
      <c r="P40" t="n">
        <v>0</v>
      </c>
      <c r="Q40" t="n">
        <v>0</v>
      </c>
      <c r="R40" t="n">
        <v>0</v>
      </c>
      <c r="S40" t="n">
        <v>0</v>
      </c>
      <c r="T40" t="n">
        <v>0</v>
      </c>
      <c r="U40" t="n">
        <v>0</v>
      </c>
      <c r="V40" s="2" t="inlineStr"/>
    </row>
    <row r="41" ht="15" customHeight="1">
      <c r="A41" t="inlineStr">
        <is>
          <t>A 41702-2023</t>
        </is>
      </c>
      <c r="B41" t="inlineStr">
        <is>
          <t>avverkningsanmälan</t>
        </is>
      </c>
      <c r="C41" t="inlineStr">
        <is>
          <t>Föryngringsavverkning</t>
        </is>
      </c>
      <c r="D41" s="1" t="n">
        <v>45176</v>
      </c>
      <c r="E41" s="1" t="n">
        <v>46305</v>
      </c>
      <c r="F41" t="inlineStr">
        <is>
          <t>STOCKHOLMS LÄN</t>
        </is>
      </c>
      <c r="G41" t="inlineStr">
        <is>
          <t>SIGTUNA</t>
        </is>
      </c>
      <c r="H41" t="inlineStr">
        <is>
          <t>Allmännings- och besparingsskogar</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17320-2023</t>
        </is>
      </c>
      <c r="B42" t="inlineStr">
        <is>
          <t>avverkningsanmälan</t>
        </is>
      </c>
      <c r="C42" t="inlineStr">
        <is>
          <t>Föryngringsavverkning</t>
        </is>
      </c>
      <c r="D42" s="1" t="n">
        <v>45035</v>
      </c>
      <c r="E42" s="1" t="n">
        <v>46305</v>
      </c>
      <c r="F42" t="inlineStr">
        <is>
          <t>STOCKHOLMS LÄN</t>
        </is>
      </c>
      <c r="G42" t="inlineStr">
        <is>
          <t>SIGTUNA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43158-2024</t>
        </is>
      </c>
      <c r="B43" t="inlineStr">
        <is>
          <t>avverkningsanmälan</t>
        </is>
      </c>
      <c r="C43" t="inlineStr">
        <is>
          <t>Föryngringsavverkning</t>
        </is>
      </c>
      <c r="D43" s="1" t="n">
        <v>45567</v>
      </c>
      <c r="E43" s="1" t="n">
        <v>46305</v>
      </c>
      <c r="F43" t="inlineStr">
        <is>
          <t>STOCKHOLMS LÄN</t>
        </is>
      </c>
      <c r="G43" t="inlineStr">
        <is>
          <t>SIGTUNA</t>
        </is>
      </c>
      <c r="I43" t="n">
        <v>5</v>
      </c>
      <c r="J43" t="n">
        <v>0</v>
      </c>
      <c r="K43" t="n">
        <v>0</v>
      </c>
      <c r="L43" t="n">
        <v>0</v>
      </c>
      <c r="M43" t="n">
        <v>0</v>
      </c>
      <c r="N43" t="n">
        <v>0</v>
      </c>
      <c r="O43" t="n">
        <v>0</v>
      </c>
      <c r="P43" t="n">
        <v>0</v>
      </c>
      <c r="Q43" t="n">
        <v>0</v>
      </c>
      <c r="R43" t="n">
        <v>0</v>
      </c>
      <c r="S43" t="n">
        <v>0</v>
      </c>
      <c r="T43" t="n">
        <v>0</v>
      </c>
      <c r="U43" t="n">
        <v>0</v>
      </c>
      <c r="V43" s="2" t="inlineStr"/>
    </row>
    <row r="44" ht="15" customHeight="1">
      <c r="A44" t="inlineStr">
        <is>
          <t>A 24946-2024</t>
        </is>
      </c>
      <c r="B44" t="inlineStr">
        <is>
          <t>avverkningsanmälan</t>
        </is>
      </c>
      <c r="C44" t="inlineStr">
        <is>
          <t>Föryngringsavverkning</t>
        </is>
      </c>
      <c r="D44" s="1" t="n">
        <v>45461</v>
      </c>
      <c r="E44" s="1" t="n">
        <v>46305</v>
      </c>
      <c r="F44" t="inlineStr">
        <is>
          <t>STOCKHOLMS LÄN</t>
        </is>
      </c>
      <c r="G44" t="inlineStr">
        <is>
          <t>SIGTUNA</t>
        </is>
      </c>
      <c r="I44" t="n">
        <v>12.5</v>
      </c>
      <c r="J44" t="n">
        <v>0</v>
      </c>
      <c r="K44" t="n">
        <v>0</v>
      </c>
      <c r="L44" t="n">
        <v>0</v>
      </c>
      <c r="M44" t="n">
        <v>0</v>
      </c>
      <c r="N44" t="n">
        <v>0</v>
      </c>
      <c r="O44" t="n">
        <v>0</v>
      </c>
      <c r="P44" t="n">
        <v>0</v>
      </c>
      <c r="Q44" t="n">
        <v>0</v>
      </c>
      <c r="R44" t="n">
        <v>0</v>
      </c>
      <c r="S44" t="n">
        <v>0</v>
      </c>
      <c r="T44" t="n">
        <v>0</v>
      </c>
      <c r="U44" t="n">
        <v>0</v>
      </c>
      <c r="V44" s="2" t="inlineStr"/>
    </row>
    <row r="45" ht="15" customHeight="1">
      <c r="A45" t="inlineStr">
        <is>
          <t>A 3890-2025</t>
        </is>
      </c>
      <c r="B45" t="inlineStr">
        <is>
          <t>avverkningsanmälan</t>
        </is>
      </c>
      <c r="C45" t="inlineStr">
        <is>
          <t>Föryngringsavverkning</t>
        </is>
      </c>
      <c r="D45" s="1" t="n">
        <v>45684</v>
      </c>
      <c r="E45" s="1" t="n">
        <v>46305</v>
      </c>
      <c r="F45" t="inlineStr">
        <is>
          <t>STOCKHOLMS LÄN</t>
        </is>
      </c>
      <c r="G45" t="inlineStr">
        <is>
          <t>SIGTUNA</t>
        </is>
      </c>
      <c r="I45" t="n">
        <v>2.9</v>
      </c>
      <c r="J45" t="n">
        <v>0</v>
      </c>
      <c r="K45" t="n">
        <v>0</v>
      </c>
      <c r="L45" t="n">
        <v>0</v>
      </c>
      <c r="M45" t="n">
        <v>0</v>
      </c>
      <c r="N45" t="n">
        <v>0</v>
      </c>
      <c r="O45" t="n">
        <v>0</v>
      </c>
      <c r="P45" t="n">
        <v>0</v>
      </c>
      <c r="Q45" t="n">
        <v>0</v>
      </c>
      <c r="R45" t="n">
        <v>0</v>
      </c>
      <c r="S45" t="n">
        <v>0</v>
      </c>
      <c r="T45" t="n">
        <v>0</v>
      </c>
      <c r="U45" t="n">
        <v>0</v>
      </c>
      <c r="V45" s="2" t="inlineStr"/>
    </row>
    <row r="46" ht="15" customHeight="1">
      <c r="A46" t="inlineStr">
        <is>
          <t>A 7214-2022</t>
        </is>
      </c>
      <c r="B46" t="inlineStr">
        <is>
          <t>avverkningsanmälan</t>
        </is>
      </c>
      <c r="C46" t="inlineStr">
        <is>
          <t>Föryngringsavverkning</t>
        </is>
      </c>
      <c r="D46" s="1" t="n">
        <v>44606</v>
      </c>
      <c r="E46" s="1" t="n">
        <v>46305</v>
      </c>
      <c r="F46" t="inlineStr">
        <is>
          <t>STOCKHOLMS LÄN</t>
        </is>
      </c>
      <c r="G46" t="inlineStr">
        <is>
          <t>SIGTUNA</t>
        </is>
      </c>
      <c r="I46" t="n">
        <v>1.5</v>
      </c>
      <c r="J46" t="n">
        <v>0</v>
      </c>
      <c r="K46" t="n">
        <v>0</v>
      </c>
      <c r="L46" t="n">
        <v>0</v>
      </c>
      <c r="M46" t="n">
        <v>0</v>
      </c>
      <c r="N46" t="n">
        <v>0</v>
      </c>
      <c r="O46" t="n">
        <v>0</v>
      </c>
      <c r="P46" t="n">
        <v>0</v>
      </c>
      <c r="Q46" t="n">
        <v>0</v>
      </c>
      <c r="R46" t="n">
        <v>0</v>
      </c>
      <c r="S46" t="n">
        <v>0</v>
      </c>
      <c r="T46" t="n">
        <v>0</v>
      </c>
      <c r="U46" t="n">
        <v>0</v>
      </c>
      <c r="V46" s="2" t="inlineStr"/>
    </row>
    <row r="47" ht="15" customHeight="1">
      <c r="A47" t="inlineStr">
        <is>
          <t>A 45319-2023</t>
        </is>
      </c>
      <c r="B47" t="inlineStr">
        <is>
          <t>avverkningsanmälan</t>
        </is>
      </c>
      <c r="C47" t="inlineStr">
        <is>
          <t>Föryngringsavverkning</t>
        </is>
      </c>
      <c r="D47" s="1" t="n">
        <v>45191</v>
      </c>
      <c r="E47" s="1" t="n">
        <v>46305</v>
      </c>
      <c r="F47" t="inlineStr">
        <is>
          <t>STOCKHOLMS LÄN</t>
        </is>
      </c>
      <c r="G47" t="inlineStr">
        <is>
          <t>SIGTUNA</t>
        </is>
      </c>
      <c r="H47" t="inlineStr">
        <is>
          <t>Allmännings- och besparingsskogar</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38276-2023</t>
        </is>
      </c>
      <c r="B48" t="inlineStr">
        <is>
          <t>avverkningsanmälan</t>
        </is>
      </c>
      <c r="C48" t="inlineStr">
        <is>
          <t>Föryngringsavverkning</t>
        </is>
      </c>
      <c r="D48" s="1" t="n">
        <v>45160</v>
      </c>
      <c r="E48" s="1" t="n">
        <v>46305</v>
      </c>
      <c r="F48" t="inlineStr">
        <is>
          <t>STOCKHOLMS LÄN</t>
        </is>
      </c>
      <c r="G48" t="inlineStr">
        <is>
          <t>SIGTUNA</t>
        </is>
      </c>
      <c r="I48" t="n">
        <v>18.1</v>
      </c>
      <c r="J48" t="n">
        <v>0</v>
      </c>
      <c r="K48" t="n">
        <v>0</v>
      </c>
      <c r="L48" t="n">
        <v>0</v>
      </c>
      <c r="M48" t="n">
        <v>0</v>
      </c>
      <c r="N48" t="n">
        <v>0</v>
      </c>
      <c r="O48" t="n">
        <v>0</v>
      </c>
      <c r="P48" t="n">
        <v>0</v>
      </c>
      <c r="Q48" t="n">
        <v>0</v>
      </c>
      <c r="R48" t="n">
        <v>0</v>
      </c>
      <c r="S48" t="n">
        <v>0</v>
      </c>
      <c r="T48" t="n">
        <v>0</v>
      </c>
      <c r="U48" t="n">
        <v>0</v>
      </c>
      <c r="V48" s="2" t="inlineStr"/>
    </row>
    <row r="49" ht="15" customHeight="1">
      <c r="A49" t="inlineStr">
        <is>
          <t>A 45233-2024</t>
        </is>
      </c>
      <c r="B49" t="inlineStr">
        <is>
          <t>avverkningsanmälan</t>
        </is>
      </c>
      <c r="C49" t="inlineStr">
        <is>
          <t>Föryngringsavverkning</t>
        </is>
      </c>
      <c r="D49" s="1" t="n">
        <v>45575</v>
      </c>
      <c r="E49" s="1" t="n">
        <v>46305</v>
      </c>
      <c r="F49" t="inlineStr">
        <is>
          <t>STOCKHOLMS LÄN</t>
        </is>
      </c>
      <c r="G49" t="inlineStr">
        <is>
          <t>SIGTUNA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21513-2025</t>
        </is>
      </c>
      <c r="B50" t="inlineStr">
        <is>
          <t>avverkningsanmälan</t>
        </is>
      </c>
      <c r="C50" t="inlineStr">
        <is>
          <t>Föryngringsavverkning</t>
        </is>
      </c>
      <c r="D50" s="1" t="n">
        <v>45782</v>
      </c>
      <c r="E50" s="1" t="n">
        <v>46305</v>
      </c>
      <c r="F50" t="inlineStr">
        <is>
          <t>STOCKHOLMS LÄN</t>
        </is>
      </c>
      <c r="G50" t="inlineStr">
        <is>
          <t>SIGTUNA</t>
        </is>
      </c>
      <c r="I50" t="n">
        <v>2.2</v>
      </c>
      <c r="J50" t="n">
        <v>0</v>
      </c>
      <c r="K50" t="n">
        <v>0</v>
      </c>
      <c r="L50" t="n">
        <v>0</v>
      </c>
      <c r="M50" t="n">
        <v>0</v>
      </c>
      <c r="N50" t="n">
        <v>0</v>
      </c>
      <c r="O50" t="n">
        <v>0</v>
      </c>
      <c r="P50" t="n">
        <v>0</v>
      </c>
      <c r="Q50" t="n">
        <v>0</v>
      </c>
      <c r="R50" t="n">
        <v>0</v>
      </c>
      <c r="S50" t="n">
        <v>0</v>
      </c>
      <c r="T50" t="n">
        <v>0</v>
      </c>
      <c r="U50" t="n">
        <v>0</v>
      </c>
      <c r="V50" s="2" t="inlineStr"/>
    </row>
    <row r="51" ht="15" customHeight="1">
      <c r="A51" t="inlineStr">
        <is>
          <t>A 20375-2023</t>
        </is>
      </c>
      <c r="B51" t="inlineStr">
        <is>
          <t>avverkningsanmälan</t>
        </is>
      </c>
      <c r="C51" t="inlineStr">
        <is>
          <t>Föryngringsavverkning</t>
        </is>
      </c>
      <c r="D51" s="1" t="n">
        <v>45054</v>
      </c>
      <c r="E51" s="1" t="n">
        <v>46305</v>
      </c>
      <c r="F51" t="inlineStr">
        <is>
          <t>STOCKHOLMS LÄN</t>
        </is>
      </c>
      <c r="G51" t="inlineStr">
        <is>
          <t>SIGTUNA</t>
        </is>
      </c>
      <c r="I51" t="n">
        <v>2.3</v>
      </c>
      <c r="J51" t="n">
        <v>0</v>
      </c>
      <c r="K51" t="n">
        <v>0</v>
      </c>
      <c r="L51" t="n">
        <v>0</v>
      </c>
      <c r="M51" t="n">
        <v>0</v>
      </c>
      <c r="N51" t="n">
        <v>0</v>
      </c>
      <c r="O51" t="n">
        <v>0</v>
      </c>
      <c r="P51" t="n">
        <v>0</v>
      </c>
      <c r="Q51" t="n">
        <v>0</v>
      </c>
      <c r="R51" t="n">
        <v>0</v>
      </c>
      <c r="S51" t="n">
        <v>0</v>
      </c>
      <c r="T51" t="n">
        <v>0</v>
      </c>
      <c r="U51" t="n">
        <v>0</v>
      </c>
      <c r="V51" s="2" t="inlineStr"/>
    </row>
    <row r="52" ht="15" customHeight="1">
      <c r="A52" t="inlineStr">
        <is>
          <t>A 48375-2024</t>
        </is>
      </c>
      <c r="B52" t="inlineStr">
        <is>
          <t>avverkningsanmälan</t>
        </is>
      </c>
      <c r="C52" t="inlineStr">
        <is>
          <t>Föryngringsavverkning</t>
        </is>
      </c>
      <c r="D52" s="1" t="n">
        <v>45590</v>
      </c>
      <c r="E52" s="1" t="n">
        <v>46305</v>
      </c>
      <c r="F52" t="inlineStr">
        <is>
          <t>STOCKHOLMS LÄN</t>
        </is>
      </c>
      <c r="G52" t="inlineStr">
        <is>
          <t>SIGTUNA</t>
        </is>
      </c>
      <c r="H52" t="inlineStr">
        <is>
          <t>Allmännings- och besparingsskogar</t>
        </is>
      </c>
      <c r="I52" t="n">
        <v>4.8</v>
      </c>
      <c r="J52" t="n">
        <v>0</v>
      </c>
      <c r="K52" t="n">
        <v>0</v>
      </c>
      <c r="L52" t="n">
        <v>0</v>
      </c>
      <c r="M52" t="n">
        <v>0</v>
      </c>
      <c r="N52" t="n">
        <v>0</v>
      </c>
      <c r="O52" t="n">
        <v>0</v>
      </c>
      <c r="P52" t="n">
        <v>0</v>
      </c>
      <c r="Q52" t="n">
        <v>0</v>
      </c>
      <c r="R52" t="n">
        <v>0</v>
      </c>
      <c r="S52" t="n">
        <v>0</v>
      </c>
      <c r="T52" t="n">
        <v>0</v>
      </c>
      <c r="U52" t="n">
        <v>0</v>
      </c>
      <c r="V52" s="2" t="inlineStr"/>
    </row>
    <row r="53" ht="15" customHeight="1">
      <c r="A53" t="inlineStr">
        <is>
          <t>A 22402-2025</t>
        </is>
      </c>
      <c r="B53" t="inlineStr">
        <is>
          <t>avverkningsanmälan</t>
        </is>
      </c>
      <c r="C53" t="inlineStr">
        <is>
          <t>Föryngringsavverkning</t>
        </is>
      </c>
      <c r="D53" s="1" t="n">
        <v>45786</v>
      </c>
      <c r="E53" s="1" t="n">
        <v>46305</v>
      </c>
      <c r="F53" t="inlineStr">
        <is>
          <t>STOCKHOLMS LÄN</t>
        </is>
      </c>
      <c r="G53" t="inlineStr">
        <is>
          <t>SIGTUNA</t>
        </is>
      </c>
      <c r="I53" t="n">
        <v>4.1</v>
      </c>
      <c r="J53" t="n">
        <v>0</v>
      </c>
      <c r="K53" t="n">
        <v>0</v>
      </c>
      <c r="L53" t="n">
        <v>0</v>
      </c>
      <c r="M53" t="n">
        <v>0</v>
      </c>
      <c r="N53" t="n">
        <v>0</v>
      </c>
      <c r="O53" t="n">
        <v>0</v>
      </c>
      <c r="P53" t="n">
        <v>0</v>
      </c>
      <c r="Q53" t="n">
        <v>0</v>
      </c>
      <c r="R53" t="n">
        <v>0</v>
      </c>
      <c r="S53" t="n">
        <v>0</v>
      </c>
      <c r="T53" t="n">
        <v>0</v>
      </c>
      <c r="U53" t="n">
        <v>0</v>
      </c>
      <c r="V53" s="2" t="inlineStr"/>
    </row>
    <row r="54" ht="15" customHeight="1">
      <c r="A54" t="inlineStr">
        <is>
          <t>A 35961-2024</t>
        </is>
      </c>
      <c r="B54" t="inlineStr">
        <is>
          <t>avverkningsanmälan</t>
        </is>
      </c>
      <c r="C54" t="inlineStr">
        <is>
          <t>Föryngringsavverkning</t>
        </is>
      </c>
      <c r="D54" s="1" t="n">
        <v>45533</v>
      </c>
      <c r="E54" s="1" t="n">
        <v>46305</v>
      </c>
      <c r="F54" t="inlineStr">
        <is>
          <t>STOCKHOLMS LÄN</t>
        </is>
      </c>
      <c r="G54" t="inlineStr">
        <is>
          <t>SIGTUNA</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19031-2024</t>
        </is>
      </c>
      <c r="B55" t="inlineStr">
        <is>
          <t>avverkningsanmälan</t>
        </is>
      </c>
      <c r="C55" t="inlineStr">
        <is>
          <t>Avverkning för annat ändamål</t>
        </is>
      </c>
      <c r="D55" s="1" t="n">
        <v>45427</v>
      </c>
      <c r="E55" s="1" t="n">
        <v>46305</v>
      </c>
      <c r="F55" t="inlineStr">
        <is>
          <t>STOCKHOLMS LÄN</t>
        </is>
      </c>
      <c r="G55" t="inlineStr">
        <is>
          <t>SIGTUNA</t>
        </is>
      </c>
      <c r="I55" t="n">
        <v>2.7</v>
      </c>
      <c r="J55" t="n">
        <v>0</v>
      </c>
      <c r="K55" t="n">
        <v>0</v>
      </c>
      <c r="L55" t="n">
        <v>0</v>
      </c>
      <c r="M55" t="n">
        <v>0</v>
      </c>
      <c r="N55" t="n">
        <v>0</v>
      </c>
      <c r="O55" t="n">
        <v>0</v>
      </c>
      <c r="P55" t="n">
        <v>0</v>
      </c>
      <c r="Q55" t="n">
        <v>0</v>
      </c>
      <c r="R55" t="n">
        <v>0</v>
      </c>
      <c r="S55" t="n">
        <v>0</v>
      </c>
      <c r="T55" t="n">
        <v>0</v>
      </c>
      <c r="U55" t="n">
        <v>0</v>
      </c>
      <c r="V55" s="2" t="inlineStr"/>
    </row>
    <row r="56" ht="15" customHeight="1">
      <c r="A56" t="inlineStr">
        <is>
          <t>A 51770-2023</t>
        </is>
      </c>
      <c r="B56" t="inlineStr">
        <is>
          <t>avverkningsanmälan</t>
        </is>
      </c>
      <c r="C56" t="inlineStr">
        <is>
          <t>Föryngringsavverkning</t>
        </is>
      </c>
      <c r="D56" s="1" t="n">
        <v>45222</v>
      </c>
      <c r="E56" s="1" t="n">
        <v>46305</v>
      </c>
      <c r="F56" t="inlineStr">
        <is>
          <t>STOCKHOLMS LÄN</t>
        </is>
      </c>
      <c r="G56" t="inlineStr">
        <is>
          <t>SIGTUNA</t>
        </is>
      </c>
      <c r="I56" t="n">
        <v>3.8</v>
      </c>
      <c r="J56" t="n">
        <v>0</v>
      </c>
      <c r="K56" t="n">
        <v>0</v>
      </c>
      <c r="L56" t="n">
        <v>0</v>
      </c>
      <c r="M56" t="n">
        <v>0</v>
      </c>
      <c r="N56" t="n">
        <v>0</v>
      </c>
      <c r="O56" t="n">
        <v>0</v>
      </c>
      <c r="P56" t="n">
        <v>0</v>
      </c>
      <c r="Q56" t="n">
        <v>0</v>
      </c>
      <c r="R56" t="n">
        <v>0</v>
      </c>
      <c r="S56" t="n">
        <v>0</v>
      </c>
      <c r="T56" t="n">
        <v>0</v>
      </c>
      <c r="U56" t="n">
        <v>0</v>
      </c>
      <c r="V56" s="2" t="inlineStr"/>
    </row>
    <row r="57" ht="15" customHeight="1">
      <c r="A57" t="inlineStr">
        <is>
          <t>A 59165-2022</t>
        </is>
      </c>
      <c r="B57" t="inlineStr">
        <is>
          <t>avverkningsanmälan</t>
        </is>
      </c>
      <c r="C57" t="inlineStr">
        <is>
          <t>Föryngringsavverkning</t>
        </is>
      </c>
      <c r="D57" s="1" t="n">
        <v>44904</v>
      </c>
      <c r="E57" s="1" t="n">
        <v>46305</v>
      </c>
      <c r="F57" t="inlineStr">
        <is>
          <t>STOCKHOLMS LÄN</t>
        </is>
      </c>
      <c r="G57" t="inlineStr">
        <is>
          <t>SIGTUNA</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17286-2022</t>
        </is>
      </c>
      <c r="B58" t="inlineStr">
        <is>
          <t>avverkningsanmälan</t>
        </is>
      </c>
      <c r="C58" t="inlineStr">
        <is>
          <t>Avverkning för annat ändamål</t>
        </is>
      </c>
      <c r="D58" s="1" t="n">
        <v>44678</v>
      </c>
      <c r="E58" s="1" t="n">
        <v>46305</v>
      </c>
      <c r="F58" t="inlineStr">
        <is>
          <t>STOCKHOLMS LÄN</t>
        </is>
      </c>
      <c r="G58" t="inlineStr">
        <is>
          <t>SIGTUNA</t>
        </is>
      </c>
      <c r="I58" t="n">
        <v>3.6</v>
      </c>
      <c r="J58" t="n">
        <v>0</v>
      </c>
      <c r="K58" t="n">
        <v>0</v>
      </c>
      <c r="L58" t="n">
        <v>0</v>
      </c>
      <c r="M58" t="n">
        <v>0</v>
      </c>
      <c r="N58" t="n">
        <v>0</v>
      </c>
      <c r="O58" t="n">
        <v>0</v>
      </c>
      <c r="P58" t="n">
        <v>0</v>
      </c>
      <c r="Q58" t="n">
        <v>0</v>
      </c>
      <c r="R58" t="n">
        <v>0</v>
      </c>
      <c r="S58" t="n">
        <v>0</v>
      </c>
      <c r="T58" t="n">
        <v>0</v>
      </c>
      <c r="U58" t="n">
        <v>0</v>
      </c>
      <c r="V58" s="2" t="inlineStr"/>
    </row>
    <row r="59" ht="15" customHeight="1">
      <c r="A59" t="inlineStr">
        <is>
          <t>A 47392-2025</t>
        </is>
      </c>
      <c r="B59" t="inlineStr">
        <is>
          <t>avverkningsanmälan</t>
        </is>
      </c>
      <c r="C59" t="inlineStr">
        <is>
          <t>Föryngringsavverkning</t>
        </is>
      </c>
      <c r="D59" s="1" t="n">
        <v>45930</v>
      </c>
      <c r="E59" s="1" t="n">
        <v>46305</v>
      </c>
      <c r="F59" t="inlineStr">
        <is>
          <t>STOCKHOLMS LÄN</t>
        </is>
      </c>
      <c r="G59" t="inlineStr">
        <is>
          <t>SIGTUNA</t>
        </is>
      </c>
      <c r="I59" t="n">
        <v>3.3</v>
      </c>
      <c r="J59" t="n">
        <v>0</v>
      </c>
      <c r="K59" t="n">
        <v>0</v>
      </c>
      <c r="L59" t="n">
        <v>0</v>
      </c>
      <c r="M59" t="n">
        <v>0</v>
      </c>
      <c r="N59" t="n">
        <v>0</v>
      </c>
      <c r="O59" t="n">
        <v>0</v>
      </c>
      <c r="P59" t="n">
        <v>0</v>
      </c>
      <c r="Q59" t="n">
        <v>0</v>
      </c>
      <c r="R59" t="n">
        <v>0</v>
      </c>
      <c r="S59" t="n">
        <v>0</v>
      </c>
      <c r="T59" t="n">
        <v>0</v>
      </c>
      <c r="U59" t="n">
        <v>0</v>
      </c>
      <c r="V59" s="2" t="inlineStr"/>
    </row>
    <row r="60" ht="15" customHeight="1">
      <c r="A60" t="inlineStr">
        <is>
          <t>A 24105-2025</t>
        </is>
      </c>
      <c r="B60" t="inlineStr">
        <is>
          <t>avverkningsanmälan</t>
        </is>
      </c>
      <c r="C60" t="inlineStr">
        <is>
          <t>Föryngringsavverkning</t>
        </is>
      </c>
      <c r="D60" s="1" t="n">
        <v>45796</v>
      </c>
      <c r="E60" s="1" t="n">
        <v>46305</v>
      </c>
      <c r="F60" t="inlineStr">
        <is>
          <t>STOCKHOLMS LÄN</t>
        </is>
      </c>
      <c r="G60" t="inlineStr">
        <is>
          <t>SIGTUNA</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28752-2024</t>
        </is>
      </c>
      <c r="B61" t="inlineStr">
        <is>
          <t>avverkningsanmälan</t>
        </is>
      </c>
      <c r="C61" t="inlineStr">
        <is>
          <t>Föryngringsavverkning</t>
        </is>
      </c>
      <c r="D61" s="1" t="n">
        <v>45478</v>
      </c>
      <c r="E61" s="1" t="n">
        <v>46305</v>
      </c>
      <c r="F61" t="inlineStr">
        <is>
          <t>STOCKHOLMS LÄN</t>
        </is>
      </c>
      <c r="G61" t="inlineStr">
        <is>
          <t>SIGTUNA</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20960-2023</t>
        </is>
      </c>
      <c r="B62" t="inlineStr">
        <is>
          <t>avverkningsanmälan</t>
        </is>
      </c>
      <c r="C62" t="inlineStr">
        <is>
          <t>Föryngringsavverkning</t>
        </is>
      </c>
      <c r="D62" s="1" t="n">
        <v>45061</v>
      </c>
      <c r="E62" s="1" t="n">
        <v>46305</v>
      </c>
      <c r="F62" t="inlineStr">
        <is>
          <t>STOCKHOLMS LÄN</t>
        </is>
      </c>
      <c r="G62" t="inlineStr">
        <is>
          <t>SIGTUNA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28851-2022</t>
        </is>
      </c>
      <c r="B63" t="inlineStr">
        <is>
          <t>avverkningsanmälan</t>
        </is>
      </c>
      <c r="C63" t="inlineStr">
        <is>
          <t>Föryngringsavverkning</t>
        </is>
      </c>
      <c r="D63" s="1" t="n">
        <v>44749</v>
      </c>
      <c r="E63" s="1" t="n">
        <v>46305</v>
      </c>
      <c r="F63" t="inlineStr">
        <is>
          <t>STOCKHOLMS LÄN</t>
        </is>
      </c>
      <c r="G63" t="inlineStr">
        <is>
          <t>SIGTUNA</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60934-2023</t>
        </is>
      </c>
      <c r="B64" t="inlineStr">
        <is>
          <t>avverkningsanmälan</t>
        </is>
      </c>
      <c r="C64" t="inlineStr">
        <is>
          <t>Föryngringsavverkning</t>
        </is>
      </c>
      <c r="D64" s="1" t="n">
        <v>45261</v>
      </c>
      <c r="E64" s="1" t="n">
        <v>46305</v>
      </c>
      <c r="F64" t="inlineStr">
        <is>
          <t>STOCKHOLMS LÄN</t>
        </is>
      </c>
      <c r="G64" t="inlineStr">
        <is>
          <t>SIGTUNA</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862-2022</t>
        </is>
      </c>
      <c r="B65" t="inlineStr">
        <is>
          <t>avverkningsanmälan</t>
        </is>
      </c>
      <c r="C65" t="inlineStr">
        <is>
          <t>Avverkning för annat ändamål</t>
        </is>
      </c>
      <c r="D65" s="1" t="n">
        <v>44571</v>
      </c>
      <c r="E65" s="1" t="n">
        <v>46305</v>
      </c>
      <c r="F65" t="inlineStr">
        <is>
          <t>STOCKHOLMS LÄN</t>
        </is>
      </c>
      <c r="G65" t="inlineStr">
        <is>
          <t>SIGTUNA</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49916-2025</t>
        </is>
      </c>
      <c r="B66" t="inlineStr">
        <is>
          <t>avverkningsanmälan</t>
        </is>
      </c>
      <c r="C66" t="inlineStr">
        <is>
          <t>Föryngringsavverkning</t>
        </is>
      </c>
      <c r="D66" s="1" t="n">
        <v>45940</v>
      </c>
      <c r="E66" s="1" t="n">
        <v>46305</v>
      </c>
      <c r="F66" t="inlineStr">
        <is>
          <t>STOCKHOLMS LÄN</t>
        </is>
      </c>
      <c r="G66" t="inlineStr">
        <is>
          <t>SIGTUNA</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24636-2023</t>
        </is>
      </c>
      <c r="B67" t="inlineStr">
        <is>
          <t>avverkningsanmälan</t>
        </is>
      </c>
      <c r="C67" t="inlineStr">
        <is>
          <t>Föryngringsavverkning</t>
        </is>
      </c>
      <c r="D67" s="1" t="n">
        <v>45084</v>
      </c>
      <c r="E67" s="1" t="n">
        <v>46305</v>
      </c>
      <c r="F67" t="inlineStr">
        <is>
          <t>STOCKHOLMS LÄN</t>
        </is>
      </c>
      <c r="G67" t="inlineStr">
        <is>
          <t>SIGTUNA</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42572-2024</t>
        </is>
      </c>
      <c r="B68" t="inlineStr">
        <is>
          <t>avverkningsanmälan</t>
        </is>
      </c>
      <c r="C68" t="inlineStr">
        <is>
          <t>Föryngringsavverkning</t>
        </is>
      </c>
      <c r="D68" s="1" t="n">
        <v>45565</v>
      </c>
      <c r="E68" s="1" t="n">
        <v>46305</v>
      </c>
      <c r="F68" t="inlineStr">
        <is>
          <t>STOCKHOLMS LÄN</t>
        </is>
      </c>
      <c r="G68" t="inlineStr">
        <is>
          <t>SIGTUNA</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273-2025</t>
        </is>
      </c>
      <c r="B69" t="inlineStr">
        <is>
          <t>avverkningsanmälan</t>
        </is>
      </c>
      <c r="C69" t="inlineStr">
        <is>
          <t>Avverkning för annat ändamål</t>
        </is>
      </c>
      <c r="D69" s="1" t="n">
        <v>45653</v>
      </c>
      <c r="E69" s="1" t="n">
        <v>46305</v>
      </c>
      <c r="F69" t="inlineStr">
        <is>
          <t>STOCKHOLMS LÄN</t>
        </is>
      </c>
      <c r="G69" t="inlineStr">
        <is>
          <t>SIGTUNA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56796-2022</t>
        </is>
      </c>
      <c r="B70" t="inlineStr">
        <is>
          <t>avverkningsanmälan</t>
        </is>
      </c>
      <c r="C70" t="inlineStr">
        <is>
          <t>Föryngringsavverkning</t>
        </is>
      </c>
      <c r="D70" s="1" t="n">
        <v>44894</v>
      </c>
      <c r="E70" s="1" t="n">
        <v>46305</v>
      </c>
      <c r="F70" t="inlineStr">
        <is>
          <t>STOCKHOLMS LÄN</t>
        </is>
      </c>
      <c r="G70" t="inlineStr">
        <is>
          <t>SIGTUNA</t>
        </is>
      </c>
      <c r="I70" t="n">
        <v>5.2</v>
      </c>
      <c r="J70" t="n">
        <v>0</v>
      </c>
      <c r="K70" t="n">
        <v>0</v>
      </c>
      <c r="L70" t="n">
        <v>0</v>
      </c>
      <c r="M70" t="n">
        <v>0</v>
      </c>
      <c r="N70" t="n">
        <v>0</v>
      </c>
      <c r="O70" t="n">
        <v>0</v>
      </c>
      <c r="P70" t="n">
        <v>0</v>
      </c>
      <c r="Q70" t="n">
        <v>0</v>
      </c>
      <c r="R70" t="n">
        <v>0</v>
      </c>
      <c r="S70" t="n">
        <v>0</v>
      </c>
      <c r="T70" t="n">
        <v>0</v>
      </c>
      <c r="U70" t="n">
        <v>0</v>
      </c>
      <c r="V70" s="2" t="inlineStr"/>
    </row>
    <row r="71" ht="15" customHeight="1">
      <c r="A71" t="inlineStr">
        <is>
          <t>A 31695-2022</t>
        </is>
      </c>
      <c r="B71" t="inlineStr">
        <is>
          <t>avverkningsanmälan</t>
        </is>
      </c>
      <c r="C71" t="inlineStr">
        <is>
          <t>Avverkning för att bevara och utveckla /försöksver</t>
        </is>
      </c>
      <c r="D71" s="1" t="n">
        <v>44776</v>
      </c>
      <c r="E71" s="1" t="n">
        <v>46305</v>
      </c>
      <c r="F71" t="inlineStr">
        <is>
          <t>STOCKHOLMS LÄN</t>
        </is>
      </c>
      <c r="G71" t="inlineStr">
        <is>
          <t>SIGTUNA</t>
        </is>
      </c>
      <c r="H71" t="inlineStr">
        <is>
          <t>Kommuner</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28681-2025</t>
        </is>
      </c>
      <c r="B72" t="inlineStr">
        <is>
          <t>avverkningsanmälan</t>
        </is>
      </c>
      <c r="C72" t="inlineStr">
        <is>
          <t>Föryngringsavverkning</t>
        </is>
      </c>
      <c r="D72" s="1" t="n">
        <v>45819</v>
      </c>
      <c r="E72" s="1" t="n">
        <v>46305</v>
      </c>
      <c r="F72" t="inlineStr">
        <is>
          <t>STOCKHOLMS LÄN</t>
        </is>
      </c>
      <c r="G72" t="inlineStr">
        <is>
          <t>SIGTUNA</t>
        </is>
      </c>
      <c r="I72" t="n">
        <v>7.5</v>
      </c>
      <c r="J72" t="n">
        <v>0</v>
      </c>
      <c r="K72" t="n">
        <v>0</v>
      </c>
      <c r="L72" t="n">
        <v>0</v>
      </c>
      <c r="M72" t="n">
        <v>0</v>
      </c>
      <c r="N72" t="n">
        <v>0</v>
      </c>
      <c r="O72" t="n">
        <v>0</v>
      </c>
      <c r="P72" t="n">
        <v>0</v>
      </c>
      <c r="Q72" t="n">
        <v>0</v>
      </c>
      <c r="R72" t="n">
        <v>0</v>
      </c>
      <c r="S72" t="n">
        <v>0</v>
      </c>
      <c r="T72" t="n">
        <v>0</v>
      </c>
      <c r="U72" t="n">
        <v>0</v>
      </c>
      <c r="V72" s="2" t="inlineStr"/>
    </row>
    <row r="73" ht="15" customHeight="1">
      <c r="A73" t="inlineStr">
        <is>
          <t>A 59957-2023</t>
        </is>
      </c>
      <c r="B73" t="inlineStr">
        <is>
          <t>avverkningsanmälan</t>
        </is>
      </c>
      <c r="C73" t="inlineStr">
        <is>
          <t>Föryngringsavverkning</t>
        </is>
      </c>
      <c r="D73" s="1" t="n">
        <v>45257</v>
      </c>
      <c r="E73" s="1" t="n">
        <v>46305</v>
      </c>
      <c r="F73" t="inlineStr">
        <is>
          <t>STOCKHOLMS LÄN</t>
        </is>
      </c>
      <c r="G73" t="inlineStr">
        <is>
          <t>SIGTUNA</t>
        </is>
      </c>
      <c r="H73" t="inlineStr">
        <is>
          <t>Sveaskog</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10790-2023</t>
        </is>
      </c>
      <c r="B74" t="inlineStr">
        <is>
          <t>avverkningsanmälan</t>
        </is>
      </c>
      <c r="C74" t="inlineStr">
        <is>
          <t>Föryngringsavverkning</t>
        </is>
      </c>
      <c r="D74" s="1" t="n">
        <v>44989</v>
      </c>
      <c r="E74" s="1" t="n">
        <v>46305</v>
      </c>
      <c r="F74" t="inlineStr">
        <is>
          <t>STOCKHOLMS LÄN</t>
        </is>
      </c>
      <c r="G74" t="inlineStr">
        <is>
          <t>SIGTUNA</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25452-2023</t>
        </is>
      </c>
      <c r="B75" t="inlineStr">
        <is>
          <t>avverkningsanmälan</t>
        </is>
      </c>
      <c r="C75" t="inlineStr">
        <is>
          <t>Föryngringsavverkning</t>
        </is>
      </c>
      <c r="D75" s="1" t="n">
        <v>45089</v>
      </c>
      <c r="E75" s="1" t="n">
        <v>46305</v>
      </c>
      <c r="F75" t="inlineStr">
        <is>
          <t>STOCKHOLMS LÄN</t>
        </is>
      </c>
      <c r="G75" t="inlineStr">
        <is>
          <t>SIGTUNA</t>
        </is>
      </c>
      <c r="H75" t="inlineStr">
        <is>
          <t>Sveaskog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25459-2023</t>
        </is>
      </c>
      <c r="B76" t="inlineStr">
        <is>
          <t>avverkningsanmälan</t>
        </is>
      </c>
      <c r="C76" t="inlineStr">
        <is>
          <t>Föryngringsavverkning</t>
        </is>
      </c>
      <c r="D76" s="1" t="n">
        <v>45089</v>
      </c>
      <c r="E76" s="1" t="n">
        <v>46305</v>
      </c>
      <c r="F76" t="inlineStr">
        <is>
          <t>STOCKHOLMS LÄN</t>
        </is>
      </c>
      <c r="G76" t="inlineStr">
        <is>
          <t>SIGTUNA</t>
        </is>
      </c>
      <c r="H76" t="inlineStr">
        <is>
          <t>Sveaskog</t>
        </is>
      </c>
      <c r="I76" t="n">
        <v>0.6</v>
      </c>
      <c r="J76" t="n">
        <v>0</v>
      </c>
      <c r="K76" t="n">
        <v>0</v>
      </c>
      <c r="L76" t="n">
        <v>0</v>
      </c>
      <c r="M76" t="n">
        <v>0</v>
      </c>
      <c r="N76" t="n">
        <v>0</v>
      </c>
      <c r="O76" t="n">
        <v>0</v>
      </c>
      <c r="P76" t="n">
        <v>0</v>
      </c>
      <c r="Q76" t="n">
        <v>0</v>
      </c>
      <c r="R76" t="n">
        <v>0</v>
      </c>
      <c r="S76" t="n">
        <v>0</v>
      </c>
      <c r="T76" t="n">
        <v>0</v>
      </c>
      <c r="U76" t="n">
        <v>0</v>
      </c>
      <c r="V76" s="2" t="inlineStr"/>
    </row>
    <row r="77" ht="15" customHeight="1">
      <c r="A77" t="inlineStr">
        <is>
          <t>A 61937-2021</t>
        </is>
      </c>
      <c r="B77" t="inlineStr">
        <is>
          <t>avverkningsanmälan</t>
        </is>
      </c>
      <c r="C77" t="inlineStr">
        <is>
          <t>Avverkning för annat ändamål</t>
        </is>
      </c>
      <c r="D77" s="1" t="n">
        <v>44502</v>
      </c>
      <c r="E77" s="1" t="n">
        <v>46305</v>
      </c>
      <c r="F77" t="inlineStr">
        <is>
          <t>STOCKHOLMS LÄN</t>
        </is>
      </c>
      <c r="G77" t="inlineStr">
        <is>
          <t>SIGTUNA</t>
        </is>
      </c>
      <c r="I77" t="n">
        <v>14.7</v>
      </c>
      <c r="J77" t="n">
        <v>0</v>
      </c>
      <c r="K77" t="n">
        <v>0</v>
      </c>
      <c r="L77" t="n">
        <v>0</v>
      </c>
      <c r="M77" t="n">
        <v>0</v>
      </c>
      <c r="N77" t="n">
        <v>0</v>
      </c>
      <c r="O77" t="n">
        <v>0</v>
      </c>
      <c r="P77" t="n">
        <v>0</v>
      </c>
      <c r="Q77" t="n">
        <v>0</v>
      </c>
      <c r="R77" t="n">
        <v>0</v>
      </c>
      <c r="S77" t="n">
        <v>0</v>
      </c>
      <c r="T77" t="n">
        <v>0</v>
      </c>
      <c r="U77" t="n">
        <v>0</v>
      </c>
      <c r="V77" s="2" t="inlineStr"/>
    </row>
    <row r="78" ht="15" customHeight="1">
      <c r="A78" t="inlineStr">
        <is>
          <t>A 2496-2024</t>
        </is>
      </c>
      <c r="B78" t="inlineStr">
        <is>
          <t>avverkningsanmälan</t>
        </is>
      </c>
      <c r="C78" t="inlineStr">
        <is>
          <t>Föryngringsavverkning</t>
        </is>
      </c>
      <c r="D78" s="1" t="n">
        <v>45313</v>
      </c>
      <c r="E78" s="1" t="n">
        <v>46305</v>
      </c>
      <c r="F78" t="inlineStr">
        <is>
          <t>STOCKHOLMS LÄN</t>
        </is>
      </c>
      <c r="G78" t="inlineStr">
        <is>
          <t>SIGTUNA</t>
        </is>
      </c>
      <c r="H78" t="inlineStr">
        <is>
          <t>Kommuner</t>
        </is>
      </c>
      <c r="I78" t="n">
        <v>3.3</v>
      </c>
      <c r="J78" t="n">
        <v>0</v>
      </c>
      <c r="K78" t="n">
        <v>0</v>
      </c>
      <c r="L78" t="n">
        <v>0</v>
      </c>
      <c r="M78" t="n">
        <v>0</v>
      </c>
      <c r="N78" t="n">
        <v>0</v>
      </c>
      <c r="O78" t="n">
        <v>0</v>
      </c>
      <c r="P78" t="n">
        <v>0</v>
      </c>
      <c r="Q78" t="n">
        <v>0</v>
      </c>
      <c r="R78" t="n">
        <v>0</v>
      </c>
      <c r="S78" t="n">
        <v>0</v>
      </c>
      <c r="T78" t="n">
        <v>0</v>
      </c>
      <c r="U78" t="n">
        <v>0</v>
      </c>
      <c r="V78" s="2" t="inlineStr"/>
    </row>
    <row r="79" ht="15" customHeight="1">
      <c r="A79" t="inlineStr">
        <is>
          <t>A 35966-2024</t>
        </is>
      </c>
      <c r="B79" t="inlineStr">
        <is>
          <t>avverkningsanmälan</t>
        </is>
      </c>
      <c r="C79" t="inlineStr">
        <is>
          <t>Föryngringsavverkning</t>
        </is>
      </c>
      <c r="D79" s="1" t="n">
        <v>45533</v>
      </c>
      <c r="E79" s="1" t="n">
        <v>46305</v>
      </c>
      <c r="F79" t="inlineStr">
        <is>
          <t>STOCKHOLMS LÄN</t>
        </is>
      </c>
      <c r="G79" t="inlineStr">
        <is>
          <t>SIGTUNA</t>
        </is>
      </c>
      <c r="I79" t="n">
        <v>0.4</v>
      </c>
      <c r="J79" t="n">
        <v>0</v>
      </c>
      <c r="K79" t="n">
        <v>0</v>
      </c>
      <c r="L79" t="n">
        <v>0</v>
      </c>
      <c r="M79" t="n">
        <v>0</v>
      </c>
      <c r="N79" t="n">
        <v>0</v>
      </c>
      <c r="O79" t="n">
        <v>0</v>
      </c>
      <c r="P79" t="n">
        <v>0</v>
      </c>
      <c r="Q79" t="n">
        <v>0</v>
      </c>
      <c r="R79" t="n">
        <v>0</v>
      </c>
      <c r="S79" t="n">
        <v>0</v>
      </c>
      <c r="T79" t="n">
        <v>0</v>
      </c>
      <c r="U79" t="n">
        <v>0</v>
      </c>
      <c r="V79" s="2" t="inlineStr"/>
    </row>
    <row r="80" ht="15" customHeight="1">
      <c r="A80" t="inlineStr">
        <is>
          <t>A 36179-2022</t>
        </is>
      </c>
      <c r="B80" t="inlineStr">
        <is>
          <t>avverkningsanmälan</t>
        </is>
      </c>
      <c r="C80" t="inlineStr">
        <is>
          <t>Föryngringsavverkning</t>
        </is>
      </c>
      <c r="D80" s="1" t="n">
        <v>44803</v>
      </c>
      <c r="E80" s="1" t="n">
        <v>46305</v>
      </c>
      <c r="F80" t="inlineStr">
        <is>
          <t>STOCKHOLMS LÄN</t>
        </is>
      </c>
      <c r="G80" t="inlineStr">
        <is>
          <t>SIGTUNA</t>
        </is>
      </c>
      <c r="I80" t="n">
        <v>6.1</v>
      </c>
      <c r="J80" t="n">
        <v>0</v>
      </c>
      <c r="K80" t="n">
        <v>0</v>
      </c>
      <c r="L80" t="n">
        <v>0</v>
      </c>
      <c r="M80" t="n">
        <v>0</v>
      </c>
      <c r="N80" t="n">
        <v>0</v>
      </c>
      <c r="O80" t="n">
        <v>0</v>
      </c>
      <c r="P80" t="n">
        <v>0</v>
      </c>
      <c r="Q80" t="n">
        <v>0</v>
      </c>
      <c r="R80" t="n">
        <v>0</v>
      </c>
      <c r="S80" t="n">
        <v>0</v>
      </c>
      <c r="T80" t="n">
        <v>0</v>
      </c>
      <c r="U80" t="n">
        <v>0</v>
      </c>
      <c r="V80" s="2" t="inlineStr"/>
    </row>
    <row r="81" ht="15" customHeight="1">
      <c r="A81" t="inlineStr">
        <is>
          <t>A 36181-2022</t>
        </is>
      </c>
      <c r="B81" t="inlineStr">
        <is>
          <t>avverkningsanmälan</t>
        </is>
      </c>
      <c r="C81" t="inlineStr">
        <is>
          <t>Föryngringsavverkning</t>
        </is>
      </c>
      <c r="D81" s="1" t="n">
        <v>44803</v>
      </c>
      <c r="E81" s="1" t="n">
        <v>46305</v>
      </c>
      <c r="F81" t="inlineStr">
        <is>
          <t>STOCKHOLMS LÄN</t>
        </is>
      </c>
      <c r="G81" t="inlineStr">
        <is>
          <t>SIGTUNA</t>
        </is>
      </c>
      <c r="I81" t="n">
        <v>1.7</v>
      </c>
      <c r="J81" t="n">
        <v>0</v>
      </c>
      <c r="K81" t="n">
        <v>0</v>
      </c>
      <c r="L81" t="n">
        <v>0</v>
      </c>
      <c r="M81" t="n">
        <v>0</v>
      </c>
      <c r="N81" t="n">
        <v>0</v>
      </c>
      <c r="O81" t="n">
        <v>0</v>
      </c>
      <c r="P81" t="n">
        <v>0</v>
      </c>
      <c r="Q81" t="n">
        <v>0</v>
      </c>
      <c r="R81" t="n">
        <v>0</v>
      </c>
      <c r="S81" t="n">
        <v>0</v>
      </c>
      <c r="T81" t="n">
        <v>0</v>
      </c>
      <c r="U81" t="n">
        <v>0</v>
      </c>
      <c r="V81" s="2" t="inlineStr"/>
    </row>
    <row r="82" ht="15" customHeight="1">
      <c r="A82" t="inlineStr">
        <is>
          <t>A 6826-2025</t>
        </is>
      </c>
      <c r="B82" t="inlineStr">
        <is>
          <t>avverkningsanmälan</t>
        </is>
      </c>
      <c r="C82" t="inlineStr">
        <is>
          <t>Avverkning för annat ändamål</t>
        </is>
      </c>
      <c r="D82" s="1" t="n">
        <v>45700</v>
      </c>
      <c r="E82" s="1" t="n">
        <v>46305</v>
      </c>
      <c r="F82" t="inlineStr">
        <is>
          <t>STOCKHOLMS LÄN</t>
        </is>
      </c>
      <c r="G82" t="inlineStr">
        <is>
          <t>SIGTUNA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60935-2023</t>
        </is>
      </c>
      <c r="B83" t="inlineStr">
        <is>
          <t>avverkningsanmälan</t>
        </is>
      </c>
      <c r="C83" t="inlineStr">
        <is>
          <t>Föryngringsavverkning</t>
        </is>
      </c>
      <c r="D83" s="1" t="n">
        <v>45261</v>
      </c>
      <c r="E83" s="1" t="n">
        <v>46305</v>
      </c>
      <c r="F83" t="inlineStr">
        <is>
          <t>STOCKHOLMS LÄN</t>
        </is>
      </c>
      <c r="G83" t="inlineStr">
        <is>
          <t>SIGTUNA</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11285-2023</t>
        </is>
      </c>
      <c r="B84" t="inlineStr">
        <is>
          <t>avverkningsanmälan</t>
        </is>
      </c>
      <c r="C84" t="inlineStr">
        <is>
          <t>Föryngringsavverkning</t>
        </is>
      </c>
      <c r="D84" s="1" t="n">
        <v>44992</v>
      </c>
      <c r="E84" s="1" t="n">
        <v>46305</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60922-2023</t>
        </is>
      </c>
      <c r="B85" t="inlineStr">
        <is>
          <t>avverkningsanmälan</t>
        </is>
      </c>
      <c r="C85" t="inlineStr">
        <is>
          <t>Föryngringsavverkning</t>
        </is>
      </c>
      <c r="D85" s="1" t="n">
        <v>45261</v>
      </c>
      <c r="E85" s="1" t="n">
        <v>46305</v>
      </c>
      <c r="F85" t="inlineStr">
        <is>
          <t>STOCKHOLMS LÄN</t>
        </is>
      </c>
      <c r="G85" t="inlineStr">
        <is>
          <t>SIGTUNA</t>
        </is>
      </c>
      <c r="I85" t="n">
        <v>7.6</v>
      </c>
      <c r="J85" t="n">
        <v>0</v>
      </c>
      <c r="K85" t="n">
        <v>0</v>
      </c>
      <c r="L85" t="n">
        <v>0</v>
      </c>
      <c r="M85" t="n">
        <v>0</v>
      </c>
      <c r="N85" t="n">
        <v>0</v>
      </c>
      <c r="O85" t="n">
        <v>0</v>
      </c>
      <c r="P85" t="n">
        <v>0</v>
      </c>
      <c r="Q85" t="n">
        <v>0</v>
      </c>
      <c r="R85" t="n">
        <v>0</v>
      </c>
      <c r="S85" t="n">
        <v>0</v>
      </c>
      <c r="T85" t="n">
        <v>0</v>
      </c>
      <c r="U85" t="n">
        <v>0</v>
      </c>
      <c r="V85" s="2" t="inlineStr"/>
    </row>
    <row r="86" ht="15" customHeight="1">
      <c r="A86" t="inlineStr">
        <is>
          <t>A 12931-2022</t>
        </is>
      </c>
      <c r="B86" t="inlineStr">
        <is>
          <t>avverkningsanmälan</t>
        </is>
      </c>
      <c r="C86" t="inlineStr">
        <is>
          <t>Föryngringsavverkning</t>
        </is>
      </c>
      <c r="D86" s="1" t="n">
        <v>44642</v>
      </c>
      <c r="E86" s="1" t="n">
        <v>46305</v>
      </c>
      <c r="F86" t="inlineStr">
        <is>
          <t>STOCKHOLMS LÄN</t>
        </is>
      </c>
      <c r="G86" t="inlineStr">
        <is>
          <t>SIGTUNA</t>
        </is>
      </c>
      <c r="H86" t="inlineStr">
        <is>
          <t>Kyrkan</t>
        </is>
      </c>
      <c r="I86" t="n">
        <v>1.8</v>
      </c>
      <c r="J86" t="n">
        <v>0</v>
      </c>
      <c r="K86" t="n">
        <v>0</v>
      </c>
      <c r="L86" t="n">
        <v>0</v>
      </c>
      <c r="M86" t="n">
        <v>0</v>
      </c>
      <c r="N86" t="n">
        <v>0</v>
      </c>
      <c r="O86" t="n">
        <v>0</v>
      </c>
      <c r="P86" t="n">
        <v>0</v>
      </c>
      <c r="Q86" t="n">
        <v>0</v>
      </c>
      <c r="R86" t="n">
        <v>0</v>
      </c>
      <c r="S86" t="n">
        <v>0</v>
      </c>
      <c r="T86" t="n">
        <v>0</v>
      </c>
      <c r="U86" t="n">
        <v>0</v>
      </c>
      <c r="V86" s="2" t="inlineStr"/>
    </row>
    <row r="87" ht="15" customHeight="1">
      <c r="A87" t="inlineStr">
        <is>
          <t>A 3673-2026</t>
        </is>
      </c>
      <c r="B87" t="inlineStr">
        <is>
          <t>avverkningsanmälan</t>
        </is>
      </c>
      <c r="C87" t="inlineStr">
        <is>
          <t>Föryngringsavverkning</t>
        </is>
      </c>
      <c r="D87" s="1" t="n">
        <v>46043</v>
      </c>
      <c r="E87" s="1" t="n">
        <v>46305</v>
      </c>
      <c r="F87" t="inlineStr">
        <is>
          <t>STOCKHOLMS LÄN</t>
        </is>
      </c>
      <c r="G87" t="inlineStr">
        <is>
          <t>SIGTUNA</t>
        </is>
      </c>
      <c r="I87" t="n">
        <v>3.8</v>
      </c>
      <c r="J87" t="n">
        <v>0</v>
      </c>
      <c r="K87" t="n">
        <v>0</v>
      </c>
      <c r="L87" t="n">
        <v>0</v>
      </c>
      <c r="M87" t="n">
        <v>0</v>
      </c>
      <c r="N87" t="n">
        <v>0</v>
      </c>
      <c r="O87" t="n">
        <v>0</v>
      </c>
      <c r="P87" t="n">
        <v>0</v>
      </c>
      <c r="Q87" t="n">
        <v>0</v>
      </c>
      <c r="R87" t="n">
        <v>0</v>
      </c>
      <c r="S87" t="n">
        <v>0</v>
      </c>
      <c r="T87" t="n">
        <v>0</v>
      </c>
      <c r="U87" t="n">
        <v>0</v>
      </c>
      <c r="V87" s="2" t="inlineStr"/>
    </row>
    <row r="88" ht="15" customHeight="1">
      <c r="A88" t="inlineStr">
        <is>
          <t>A 4788-2026</t>
        </is>
      </c>
      <c r="B88" t="inlineStr">
        <is>
          <t>avverkningsanmälan</t>
        </is>
      </c>
      <c r="C88" t="inlineStr">
        <is>
          <t>Föryngringsavverkning</t>
        </is>
      </c>
      <c r="D88" s="1" t="n">
        <v>46048</v>
      </c>
      <c r="E88" s="1" t="n">
        <v>46305</v>
      </c>
      <c r="F88" t="inlineStr">
        <is>
          <t>STOCKHOLMS LÄN</t>
        </is>
      </c>
      <c r="G88" t="inlineStr">
        <is>
          <t>SIGTUNA</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41693-2022</t>
        </is>
      </c>
      <c r="B89" t="inlineStr">
        <is>
          <t>avverkningsanmälan</t>
        </is>
      </c>
      <c r="C89" t="inlineStr">
        <is>
          <t>Föryngringsavverkning</t>
        </is>
      </c>
      <c r="D89" s="1" t="n">
        <v>44827</v>
      </c>
      <c r="E89" s="1" t="n">
        <v>46305</v>
      </c>
      <c r="F89" t="inlineStr">
        <is>
          <t>STOCKHOLMS LÄN</t>
        </is>
      </c>
      <c r="G89" t="inlineStr">
        <is>
          <t>SIGTUNA</t>
        </is>
      </c>
      <c r="H89" t="inlineStr">
        <is>
          <t>Allmännings- och besparingsskogar</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9856-2024</t>
        </is>
      </c>
      <c r="B90" t="inlineStr">
        <is>
          <t>avverkningsanmälan</t>
        </is>
      </c>
      <c r="C90" t="inlineStr">
        <is>
          <t>Avverkning för annat ändamål</t>
        </is>
      </c>
      <c r="D90" s="1" t="n">
        <v>45363</v>
      </c>
      <c r="E90" s="1" t="n">
        <v>46305</v>
      </c>
      <c r="F90" t="inlineStr">
        <is>
          <t>STOCKHOLMS LÄN</t>
        </is>
      </c>
      <c r="G90" t="inlineStr">
        <is>
          <t>SIGTUNA</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22913-2026</t>
        </is>
      </c>
      <c r="B91" t="inlineStr">
        <is>
          <t>avverkningsanmälan</t>
        </is>
      </c>
      <c r="C91" t="inlineStr">
        <is>
          <t>Föryngringsavverkning</t>
        </is>
      </c>
      <c r="D91" s="1" t="n">
        <v>46159</v>
      </c>
      <c r="E91" s="1" t="n">
        <v>46305</v>
      </c>
      <c r="F91" t="inlineStr">
        <is>
          <t>STOCKHOLMS LÄN</t>
        </is>
      </c>
      <c r="G91" t="inlineStr">
        <is>
          <t>SIGTUNA</t>
        </is>
      </c>
      <c r="H91" t="inlineStr">
        <is>
          <t>Sveaskog</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12052-2026</t>
        </is>
      </c>
      <c r="B92" t="inlineStr">
        <is>
          <t>avverkningsanmälan</t>
        </is>
      </c>
      <c r="C92" t="inlineStr">
        <is>
          <t>Föryngringsavverkning</t>
        </is>
      </c>
      <c r="D92" s="1" t="n">
        <v>46086</v>
      </c>
      <c r="E92" s="1" t="n">
        <v>46305</v>
      </c>
      <c r="F92" t="inlineStr">
        <is>
          <t>STOCKHOLMS LÄN</t>
        </is>
      </c>
      <c r="G92" t="inlineStr">
        <is>
          <t>SIGTUNA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13662-2026</t>
        </is>
      </c>
      <c r="B93" t="inlineStr">
        <is>
          <t>avverkningsanmälan</t>
        </is>
      </c>
      <c r="C93" t="inlineStr">
        <is>
          <t>Föryngringsavverkning</t>
        </is>
      </c>
      <c r="D93" s="1" t="n">
        <v>46097</v>
      </c>
      <c r="E93" s="1" t="n">
        <v>46305</v>
      </c>
      <c r="F93" t="inlineStr">
        <is>
          <t>STOCKHOLMS LÄN</t>
        </is>
      </c>
      <c r="G93" t="inlineStr">
        <is>
          <t>SIGTUNA</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32424-2023</t>
        </is>
      </c>
      <c r="B94" t="inlineStr">
        <is>
          <t>avverkningsanmälan</t>
        </is>
      </c>
      <c r="C94" t="inlineStr">
        <is>
          <t>Föryngringsavverkning</t>
        </is>
      </c>
      <c r="D94" s="1" t="n">
        <v>45110</v>
      </c>
      <c r="E94" s="1" t="n">
        <v>46305</v>
      </c>
      <c r="F94" t="inlineStr">
        <is>
          <t>STOCKHOLMS LÄN</t>
        </is>
      </c>
      <c r="G94" t="inlineStr">
        <is>
          <t>SIGTUNA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32426-2023</t>
        </is>
      </c>
      <c r="B95" t="inlineStr">
        <is>
          <t>avverkningsanmälan</t>
        </is>
      </c>
      <c r="C95" t="inlineStr">
        <is>
          <t>Föryngringsavverkning</t>
        </is>
      </c>
      <c r="D95" s="1" t="n">
        <v>45110</v>
      </c>
      <c r="E95" s="1" t="n">
        <v>46305</v>
      </c>
      <c r="F95" t="inlineStr">
        <is>
          <t>STOCKHOLMS LÄN</t>
        </is>
      </c>
      <c r="G95" t="inlineStr">
        <is>
          <t>SIGTUNA</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37345-2026</t>
        </is>
      </c>
      <c r="B96" t="inlineStr">
        <is>
          <t>avverkningsanmälan</t>
        </is>
      </c>
      <c r="C96" t="inlineStr">
        <is>
          <t>Föryngringsavverkning</t>
        </is>
      </c>
      <c r="D96" s="1" t="n">
        <v>46275</v>
      </c>
      <c r="E96" s="1" t="n">
        <v>46305</v>
      </c>
      <c r="F96" t="inlineStr">
        <is>
          <t>STOCKHOLMS LÄN</t>
        </is>
      </c>
      <c r="G96" t="inlineStr">
        <is>
          <t>SIGTUNA</t>
        </is>
      </c>
      <c r="I96" t="n">
        <v>1</v>
      </c>
      <c r="J96" t="n">
        <v>0</v>
      </c>
      <c r="K96" t="n">
        <v>0</v>
      </c>
      <c r="L96" t="n">
        <v>0</v>
      </c>
      <c r="M96" t="n">
        <v>0</v>
      </c>
      <c r="N96" t="n">
        <v>0</v>
      </c>
      <c r="O96" t="n">
        <v>0</v>
      </c>
      <c r="P96" t="n">
        <v>0</v>
      </c>
      <c r="Q96" t="n">
        <v>0</v>
      </c>
      <c r="R96" t="n">
        <v>0</v>
      </c>
      <c r="S96" t="n">
        <v>0</v>
      </c>
      <c r="T96" t="n">
        <v>0</v>
      </c>
      <c r="U96" t="n">
        <v>0</v>
      </c>
      <c r="V96" s="2" t="inlineStr"/>
    </row>
    <row r="97">
      <c r="A97" t="inlineStr">
        <is>
          <t>A 38695-2026</t>
        </is>
      </c>
      <c r="B97" t="inlineStr">
        <is>
          <t>avverkningsanmälan</t>
        </is>
      </c>
      <c r="C97" t="inlineStr">
        <is>
          <t>Föryngringsavverkning</t>
        </is>
      </c>
      <c r="D97" s="1" t="n">
        <v>46283</v>
      </c>
      <c r="E97" s="1" t="n">
        <v>46305</v>
      </c>
      <c r="F97" t="inlineStr">
        <is>
          <t>STOCKHOLMS LÄN</t>
        </is>
      </c>
      <c r="G97" t="inlineStr">
        <is>
          <t>SIGTUNA</t>
        </is>
      </c>
      <c r="I97" t="n">
        <v>2.3</v>
      </c>
      <c r="J97" t="n">
        <v>0</v>
      </c>
      <c r="K97" t="n">
        <v>0</v>
      </c>
      <c r="L97" t="n">
        <v>0</v>
      </c>
      <c r="M97" t="n">
        <v>0</v>
      </c>
      <c r="N97" t="n">
        <v>0</v>
      </c>
      <c r="O97" t="n">
        <v>0</v>
      </c>
      <c r="P97" t="n">
        <v>0</v>
      </c>
      <c r="Q97" t="n">
        <v>0</v>
      </c>
      <c r="R97" t="n">
        <v>0</v>
      </c>
      <c r="S97" t="n">
        <v>0</v>
      </c>
      <c r="T97" t="n">
        <v>0</v>
      </c>
      <c r="U97" t="n">
        <v>0</v>
      </c>
      <c r="V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2026-10-10T02:03:29Z</dcterms:created>
  <dcterms:modified xmlns:dcterms="http://purl.org/dc/terms/" xmlns:xsi="http://www.w3.org/2001/XMLSchema-instance" xsi:type="dcterms:W3CDTF">2026-10-10T02:03:29Z</dcterms:modified>
</cp:coreProperties>
</file>
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45719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27425-2023</t>
        </is>
      </c>
      <c r="B3" s="1" t="n">
        <v>45097</v>
      </c>
      <c r="C3" s="1" t="n">
        <v>45719</v>
      </c>
      <c r="D3" t="inlineStr">
        <is>
          <t>STOCKHOLMS LÄN</t>
        </is>
      </c>
      <c r="E3" t="inlineStr">
        <is>
          <t>SIGTUNA</t>
        </is>
      </c>
      <c r="F3" t="inlineStr">
        <is>
          <t>Allmännings- och besparingsskogar</t>
        </is>
      </c>
      <c r="G3" t="n">
        <v>9.300000000000001</v>
      </c>
      <c r="H3" t="n">
        <v>13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Brunlångöra
Gulsparv
Nordfladdermus
Talltita
Dvärgpipistrell
Grönsiska
Järnsparv
Kungsfågel
Skogsduva
Större brunfladdermus
Trollpipistrell
Vattenfladdermus
Blåsippa</t>
        </is>
      </c>
      <c r="S3">
        <f>HYPERLINK("https://klasma.github.io/Logging_0191/artfynd/A 27425-2023 artfynd.xlsx", "A 27425-2023")</f>
        <v/>
      </c>
      <c r="T3">
        <f>HYPERLINK("https://klasma.github.io/Logging_0191/kartor/A 27425-2023 karta.png", "A 27425-2023")</f>
        <v/>
      </c>
      <c r="V3">
        <f>HYPERLINK("https://klasma.github.io/Logging_0191/klagomål/A 27425-2023 FSC-klagomål.docx", "A 27425-2023")</f>
        <v/>
      </c>
      <c r="W3">
        <f>HYPERLINK("https://klasma.github.io/Logging_0191/klagomålsmail/A 27425-2023 FSC-klagomål mail.docx", "A 27425-2023")</f>
        <v/>
      </c>
      <c r="X3">
        <f>HYPERLINK("https://klasma.github.io/Logging_0191/tillsyn/A 27425-2023 tillsynsbegäran.docx", "A 27425-2023")</f>
        <v/>
      </c>
      <c r="Y3">
        <f>HYPERLINK("https://klasma.github.io/Logging_0191/tillsynsmail/A 27425-2023 tillsynsbegäran mail.docx", "A 27425-2023")</f>
        <v/>
      </c>
      <c r="Z3">
        <f>HYPERLINK("https://klasma.github.io/Logging_0191/fåglar/A 27425-2023 prioriterade fågelarter.docx", "A 27425-2023")</f>
        <v/>
      </c>
    </row>
    <row r="4" ht="15" customHeight="1">
      <c r="A4" t="inlineStr">
        <is>
          <t>A 20030-2020</t>
        </is>
      </c>
      <c r="B4" s="1" t="n">
        <v>43942</v>
      </c>
      <c r="C4" s="1" t="n">
        <v>45719</v>
      </c>
      <c r="D4" t="inlineStr">
        <is>
          <t>STOCKHOLMS LÄN</t>
        </is>
      </c>
      <c r="E4" t="inlineStr">
        <is>
          <t>SIGTUNA</t>
        </is>
      </c>
      <c r="G4" t="n">
        <v>11.5</v>
      </c>
      <c r="H4" t="n">
        <v>10</v>
      </c>
      <c r="I4" t="n">
        <v>1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11</v>
      </c>
      <c r="R4" s="2" t="inlineStr">
        <is>
          <t>Grönfink
Tofsvipa
Spillkråka
Svartvit flugsnappare
Talltita
Vågbandad barkbock
Gröngöling
Grönsiska
Järnsparv
Kungsfågel
Blåsippa</t>
        </is>
      </c>
      <c r="S4">
        <f>HYPERLINK("https://klasma.github.io/Logging_0191/artfynd/A 20030-2020 artfynd.xlsx", "A 20030-2020")</f>
        <v/>
      </c>
      <c r="T4">
        <f>HYPERLINK("https://klasma.github.io/Logging_0191/kartor/A 20030-2020 karta.png", "A 20030-2020")</f>
        <v/>
      </c>
      <c r="V4">
        <f>HYPERLINK("https://klasma.github.io/Logging_0191/klagomål/A 20030-2020 FSC-klagomål.docx", "A 20030-2020")</f>
        <v/>
      </c>
      <c r="W4">
        <f>HYPERLINK("https://klasma.github.io/Logging_0191/klagomålsmail/A 20030-2020 FSC-klagomål mail.docx", "A 20030-2020")</f>
        <v/>
      </c>
      <c r="X4">
        <f>HYPERLINK("https://klasma.github.io/Logging_0191/tillsyn/A 20030-2020 tillsynsbegäran.docx", "A 20030-2020")</f>
        <v/>
      </c>
      <c r="Y4">
        <f>HYPERLINK("https://klasma.github.io/Logging_0191/tillsynsmail/A 20030-2020 tillsynsbegäran mail.docx", "A 20030-2020")</f>
        <v/>
      </c>
      <c r="Z4">
        <f>HYPERLINK("https://klasma.github.io/Logging_0191/fåglar/A 20030-2020 prioriterade fågelarter.docx", "A 20030-2020")</f>
        <v/>
      </c>
    </row>
    <row r="5" ht="15" customHeight="1">
      <c r="A5" t="inlineStr">
        <is>
          <t>A 60838-2021</t>
        </is>
      </c>
      <c r="B5" s="1" t="n">
        <v>44497</v>
      </c>
      <c r="C5" s="1" t="n">
        <v>45719</v>
      </c>
      <c r="D5" t="inlineStr">
        <is>
          <t>STOCKHOLMS LÄN</t>
        </is>
      </c>
      <c r="E5" t="inlineStr">
        <is>
          <t>SIGTUNA</t>
        </is>
      </c>
      <c r="G5" t="n">
        <v>13.7</v>
      </c>
      <c r="H5" t="n">
        <v>11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Björktrast
Blå kärrhök
Duvhök
Gulsparv
Rödvingetrast
Skrattmås
Grönsiska
Kungsfågel
Nattskärra
Trädlärka
Törnskata</t>
        </is>
      </c>
      <c r="S5">
        <f>HYPERLINK("https://klasma.github.io/Logging_0191/artfynd/A 60838-2021 artfynd.xlsx", "A 60838-2021")</f>
        <v/>
      </c>
      <c r="T5">
        <f>HYPERLINK("https://klasma.github.io/Logging_0191/kartor/A 60838-2021 karta.png", "A 60838-2021")</f>
        <v/>
      </c>
      <c r="V5">
        <f>HYPERLINK("https://klasma.github.io/Logging_0191/klagomål/A 60838-2021 FSC-klagomål.docx", "A 60838-2021")</f>
        <v/>
      </c>
      <c r="W5">
        <f>HYPERLINK("https://klasma.github.io/Logging_0191/klagomålsmail/A 60838-2021 FSC-klagomål mail.docx", "A 60838-2021")</f>
        <v/>
      </c>
      <c r="X5">
        <f>HYPERLINK("https://klasma.github.io/Logging_0191/tillsyn/A 60838-2021 tillsynsbegäran.docx", "A 60838-2021")</f>
        <v/>
      </c>
      <c r="Y5">
        <f>HYPERLINK("https://klasma.github.io/Logging_0191/tillsynsmail/A 60838-2021 tillsynsbegäran mail.docx", "A 60838-2021")</f>
        <v/>
      </c>
      <c r="Z5">
        <f>HYPERLINK("https://klasma.github.io/Logging_0191/fåglar/A 60838-2021 prioriterade fågelarter.docx", "A 60838-2021")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45719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9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11</v>
      </c>
      <c r="R6" s="2" t="inlineStr">
        <is>
          <t>Nordfladdermus
Spillkråka
Thomsons trägnagare
Vanlig flatbagge
Dvärgpipistrell
Grönsiska
Järnsparv
Kungsfågel
Större brunfladdermus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58658-2023</t>
        </is>
      </c>
      <c r="B7" s="1" t="n">
        <v>45251</v>
      </c>
      <c r="C7" s="1" t="n">
        <v>45719</v>
      </c>
      <c r="D7" t="inlineStr">
        <is>
          <t>STOCKHOLMS LÄN</t>
        </is>
      </c>
      <c r="E7" t="inlineStr">
        <is>
          <t>SIGTUNA</t>
        </is>
      </c>
      <c r="F7" t="inlineStr">
        <is>
          <t>Kommuner</t>
        </is>
      </c>
      <c r="G7" t="n">
        <v>4.8</v>
      </c>
      <c r="H7" t="n">
        <v>5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9</v>
      </c>
      <c r="R7" s="2" t="inlineStr">
        <is>
          <t>Aspborre
Entita
Grön aspvedbock
Spillkråka
Granbarkgnagare
Myskbock
Skogsödla
Blåsippa
Gullviva</t>
        </is>
      </c>
      <c r="S7">
        <f>HYPERLINK("https://klasma.github.io/Logging_0191/artfynd/A 58658-2023 artfynd.xlsx", "A 58658-2023")</f>
        <v/>
      </c>
      <c r="T7">
        <f>HYPERLINK("https://klasma.github.io/Logging_0191/kartor/A 58658-2023 karta.png", "A 58658-2023")</f>
        <v/>
      </c>
      <c r="V7">
        <f>HYPERLINK("https://klasma.github.io/Logging_0191/klagomål/A 58658-2023 FSC-klagomål.docx", "A 58658-2023")</f>
        <v/>
      </c>
      <c r="W7">
        <f>HYPERLINK("https://klasma.github.io/Logging_0191/klagomålsmail/A 58658-2023 FSC-klagomål mail.docx", "A 58658-2023")</f>
        <v/>
      </c>
      <c r="X7">
        <f>HYPERLINK("https://klasma.github.io/Logging_0191/tillsyn/A 58658-2023 tillsynsbegäran.docx", "A 58658-2023")</f>
        <v/>
      </c>
      <c r="Y7">
        <f>HYPERLINK("https://klasma.github.io/Logging_0191/tillsynsmail/A 58658-2023 tillsynsbegäran mail.docx", "A 58658-2023")</f>
        <v/>
      </c>
      <c r="Z7">
        <f>HYPERLINK("https://klasma.github.io/Logging_0191/fåglar/A 58658-2023 prioriterade fågelarter.docx", "A 58658-2023")</f>
        <v/>
      </c>
    </row>
    <row r="8" ht="15" customHeight="1">
      <c r="A8" t="inlineStr">
        <is>
          <t>A 36440-2024</t>
        </is>
      </c>
      <c r="B8" s="1" t="n">
        <v>45535</v>
      </c>
      <c r="C8" s="1" t="n">
        <v>45719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7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Gulsparv
Talltita
Ärtsångare
Bronshjon
Granbarkgnagare
Grönsiska
Kungsfågel
Vanlig padda
Revlummer</t>
        </is>
      </c>
      <c r="S8">
        <f>HYPERLINK("https://klasma.github.io/Logging_0191/artfynd/A 36440-2024 artfynd.xlsx", "A 36440-2024")</f>
        <v/>
      </c>
      <c r="T8">
        <f>HYPERLINK("https://klasma.github.io/Logging_0191/kartor/A 36440-2024 karta.png", "A 36440-2024")</f>
        <v/>
      </c>
      <c r="V8">
        <f>HYPERLINK("https://klasma.github.io/Logging_0191/klagomål/A 36440-2024 FSC-klagomål.docx", "A 36440-2024")</f>
        <v/>
      </c>
      <c r="W8">
        <f>HYPERLINK("https://klasma.github.io/Logging_0191/klagomålsmail/A 36440-2024 FSC-klagomål mail.docx", "A 36440-2024")</f>
        <v/>
      </c>
      <c r="X8">
        <f>HYPERLINK("https://klasma.github.io/Logging_0191/tillsyn/A 36440-2024 tillsynsbegäran.docx", "A 36440-2024")</f>
        <v/>
      </c>
      <c r="Y8">
        <f>HYPERLINK("https://klasma.github.io/Logging_0191/tillsynsmail/A 36440-2024 tillsynsbegäran mail.docx", "A 36440-2024")</f>
        <v/>
      </c>
      <c r="Z8">
        <f>HYPERLINK("https://klasma.github.io/Logging_0191/fåglar/A 36440-2024 prioriterade fågelarter.docx", "A 36440-2024")</f>
        <v/>
      </c>
    </row>
    <row r="9" ht="15" customHeight="1">
      <c r="A9" t="inlineStr">
        <is>
          <t>A 10000-2022</t>
        </is>
      </c>
      <c r="B9" s="1" t="n">
        <v>44621</v>
      </c>
      <c r="C9" s="1" t="n">
        <v>45719</v>
      </c>
      <c r="D9" t="inlineStr">
        <is>
          <t>STOCKHOLMS LÄN</t>
        </is>
      </c>
      <c r="E9" t="inlineStr">
        <is>
          <t>SIGTUNA</t>
        </is>
      </c>
      <c r="G9" t="n">
        <v>15.3</v>
      </c>
      <c r="H9" t="n">
        <v>7</v>
      </c>
      <c r="I9" t="n">
        <v>0</v>
      </c>
      <c r="J9" t="n">
        <v>3</v>
      </c>
      <c r="K9" t="n">
        <v>2</v>
      </c>
      <c r="L9" t="n">
        <v>1</v>
      </c>
      <c r="M9" t="n">
        <v>0</v>
      </c>
      <c r="N9" t="n">
        <v>0</v>
      </c>
      <c r="O9" t="n">
        <v>6</v>
      </c>
      <c r="P9" t="n">
        <v>3</v>
      </c>
      <c r="Q9" t="n">
        <v>7</v>
      </c>
      <c r="R9" s="2" t="inlineStr">
        <is>
          <t>Tornseglare
Hussvala
Vinterhämpling
Fiskmås
Gulsparv
Ärtsångare
Grönsiska</t>
        </is>
      </c>
      <c r="S9">
        <f>HYPERLINK("https://klasma.github.io/Logging_0191/artfynd/A 10000-2022 artfynd.xlsx", "A 10000-2022")</f>
        <v/>
      </c>
      <c r="T9">
        <f>HYPERLINK("https://klasma.github.io/Logging_0191/kartor/A 10000-2022 karta.png", "A 10000-2022")</f>
        <v/>
      </c>
      <c r="V9">
        <f>HYPERLINK("https://klasma.github.io/Logging_0191/klagomål/A 10000-2022 FSC-klagomål.docx", "A 10000-2022")</f>
        <v/>
      </c>
      <c r="W9">
        <f>HYPERLINK("https://klasma.github.io/Logging_0191/klagomålsmail/A 10000-2022 FSC-klagomål mail.docx", "A 10000-2022")</f>
        <v/>
      </c>
      <c r="X9">
        <f>HYPERLINK("https://klasma.github.io/Logging_0191/tillsyn/A 10000-2022 tillsynsbegäran.docx", "A 10000-2022")</f>
        <v/>
      </c>
      <c r="Y9">
        <f>HYPERLINK("https://klasma.github.io/Logging_0191/tillsynsmail/A 10000-2022 tillsynsbegäran mail.docx", "A 10000-2022")</f>
        <v/>
      </c>
      <c r="Z9">
        <f>HYPERLINK("https://klasma.github.io/Logging_0191/fåglar/A 10000-2022 prioriterade fågelarter.docx", "A 10000-2022")</f>
        <v/>
      </c>
    </row>
    <row r="10" ht="15" customHeight="1">
      <c r="A10" t="inlineStr">
        <is>
          <t>A 39613-2023</t>
        </is>
      </c>
      <c r="B10" s="1" t="n">
        <v>45163</v>
      </c>
      <c r="C10" s="1" t="n">
        <v>45719</v>
      </c>
      <c r="D10" t="inlineStr">
        <is>
          <t>STOCKHOLMS LÄN</t>
        </is>
      </c>
      <c r="E10" t="inlineStr">
        <is>
          <t>SIGTUNA</t>
        </is>
      </c>
      <c r="G10" t="n">
        <v>15.2</v>
      </c>
      <c r="H10" t="n">
        <v>5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Talltita
Kornig nållav
Grönsiska
Kungsfågel
Vanlig padda
Revlummer</t>
        </is>
      </c>
      <c r="S10">
        <f>HYPERLINK("https://klasma.github.io/Logging_0191/artfynd/A 39613-2023 artfynd.xlsx", "A 39613-2023")</f>
        <v/>
      </c>
      <c r="T10">
        <f>HYPERLINK("https://klasma.github.io/Logging_0191/kartor/A 39613-2023 karta.png", "A 39613-2023")</f>
        <v/>
      </c>
      <c r="V10">
        <f>HYPERLINK("https://klasma.github.io/Logging_0191/klagomål/A 39613-2023 FSC-klagomål.docx", "A 39613-2023")</f>
        <v/>
      </c>
      <c r="W10">
        <f>HYPERLINK("https://klasma.github.io/Logging_0191/klagomålsmail/A 39613-2023 FSC-klagomål mail.docx", "A 39613-2023")</f>
        <v/>
      </c>
      <c r="X10">
        <f>HYPERLINK("https://klasma.github.io/Logging_0191/tillsyn/A 39613-2023 tillsynsbegäran.docx", "A 39613-2023")</f>
        <v/>
      </c>
      <c r="Y10">
        <f>HYPERLINK("https://klasma.github.io/Logging_0191/tillsynsmail/A 39613-2023 tillsynsbegäran mail.docx", "A 39613-2023")</f>
        <v/>
      </c>
      <c r="Z10">
        <f>HYPERLINK("https://klasma.github.io/Logging_0191/fåglar/A 39613-2023 prioriterade fågelarter.docx", "A 39613-2023")</f>
        <v/>
      </c>
    </row>
    <row r="11" ht="15" customHeight="1">
      <c r="A11" t="inlineStr">
        <is>
          <t>A 39620-2023</t>
        </is>
      </c>
      <c r="B11" s="1" t="n">
        <v>45163</v>
      </c>
      <c r="C11" s="1" t="n">
        <v>45719</v>
      </c>
      <c r="D11" t="inlineStr">
        <is>
          <t>STOCKHOLMS LÄN</t>
        </is>
      </c>
      <c r="E11" t="inlineStr">
        <is>
          <t>SIGTUNA</t>
        </is>
      </c>
      <c r="G11" t="n">
        <v>2</v>
      </c>
      <c r="H11" t="n">
        <v>6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Grönfink
Duvhök
Talltita
Gröngöling
Grönsiska
Kungsfågel</t>
        </is>
      </c>
      <c r="S11">
        <f>HYPERLINK("https://klasma.github.io/Logging_0191/artfynd/A 39620-2023 artfynd.xlsx", "A 39620-2023")</f>
        <v/>
      </c>
      <c r="T11">
        <f>HYPERLINK("https://klasma.github.io/Logging_0191/kartor/A 39620-2023 karta.png", "A 39620-2023")</f>
        <v/>
      </c>
      <c r="V11">
        <f>HYPERLINK("https://klasma.github.io/Logging_0191/klagomål/A 39620-2023 FSC-klagomål.docx", "A 39620-2023")</f>
        <v/>
      </c>
      <c r="W11">
        <f>HYPERLINK("https://klasma.github.io/Logging_0191/klagomålsmail/A 39620-2023 FSC-klagomål mail.docx", "A 39620-2023")</f>
        <v/>
      </c>
      <c r="X11">
        <f>HYPERLINK("https://klasma.github.io/Logging_0191/tillsyn/A 39620-2023 tillsynsbegäran.docx", "A 39620-2023")</f>
        <v/>
      </c>
      <c r="Y11">
        <f>HYPERLINK("https://klasma.github.io/Logging_0191/tillsynsmail/A 39620-2023 tillsynsbegäran mail.docx", "A 39620-2023")</f>
        <v/>
      </c>
      <c r="Z11">
        <f>HYPERLINK("https://klasma.github.io/Logging_0191/fåglar/A 39620-2023 prioriterade fågelarter.docx", "A 39620-2023")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45719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45719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49269-2020</t>
        </is>
      </c>
      <c r="B14" s="1" t="n">
        <v>44105</v>
      </c>
      <c r="C14" s="1" t="n">
        <v>45719</v>
      </c>
      <c r="D14" t="inlineStr">
        <is>
          <t>STOCKHOLMS LÄN</t>
        </is>
      </c>
      <c r="E14" t="inlineStr">
        <is>
          <t>SIGTUNA</t>
        </is>
      </c>
      <c r="G14" t="n">
        <v>12.9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Gulsparv
Åkergroda
Vanlig groda
Gullviva</t>
        </is>
      </c>
      <c r="S14">
        <f>HYPERLINK("https://klasma.github.io/Logging_0191/artfynd/A 49269-2020 artfynd.xlsx", "A 49269-2020")</f>
        <v/>
      </c>
      <c r="T14">
        <f>HYPERLINK("https://klasma.github.io/Logging_0191/kartor/A 49269-2020 karta.png", "A 49269-2020")</f>
        <v/>
      </c>
      <c r="V14">
        <f>HYPERLINK("https://klasma.github.io/Logging_0191/klagomål/A 49269-2020 FSC-klagomål.docx", "A 49269-2020")</f>
        <v/>
      </c>
      <c r="W14">
        <f>HYPERLINK("https://klasma.github.io/Logging_0191/klagomålsmail/A 49269-2020 FSC-klagomål mail.docx", "A 49269-2020")</f>
        <v/>
      </c>
      <c r="X14">
        <f>HYPERLINK("https://klasma.github.io/Logging_0191/tillsyn/A 49269-2020 tillsynsbegäran.docx", "A 49269-2020")</f>
        <v/>
      </c>
      <c r="Y14">
        <f>HYPERLINK("https://klasma.github.io/Logging_0191/tillsynsmail/A 49269-2020 tillsynsbegäran mail.docx", "A 49269-2020")</f>
        <v/>
      </c>
      <c r="Z14">
        <f>HYPERLINK("https://klasma.github.io/Logging_0191/fåglar/A 49269-2020 prioriterade fågelarter.docx", "A 49269-2020")</f>
        <v/>
      </c>
    </row>
    <row r="15" ht="15" customHeight="1">
      <c r="A15" t="inlineStr">
        <is>
          <t>A 11714-2021</t>
        </is>
      </c>
      <c r="B15" s="1" t="n">
        <v>44265</v>
      </c>
      <c r="C15" s="1" t="n">
        <v>45719</v>
      </c>
      <c r="D15" t="inlineStr">
        <is>
          <t>STOCKHOLMS LÄN</t>
        </is>
      </c>
      <c r="E15" t="inlineStr">
        <is>
          <t>SIGTUNA</t>
        </is>
      </c>
      <c r="F15" t="inlineStr">
        <is>
          <t>Sveaskog</t>
        </is>
      </c>
      <c r="G15" t="n">
        <v>11.4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Spretfibbla
Guldkremla
Snövit fingersvamp
Svavelriska</t>
        </is>
      </c>
      <c r="S15">
        <f>HYPERLINK("https://klasma.github.io/Logging_0191/artfynd/A 11714-2021 artfynd.xlsx", "A 11714-2021")</f>
        <v/>
      </c>
      <c r="T15">
        <f>HYPERLINK("https://klasma.github.io/Logging_0191/kartor/A 11714-2021 karta.png", "A 11714-2021")</f>
        <v/>
      </c>
      <c r="V15">
        <f>HYPERLINK("https://klasma.github.io/Logging_0191/klagomål/A 11714-2021 FSC-klagomål.docx", "A 11714-2021")</f>
        <v/>
      </c>
      <c r="W15">
        <f>HYPERLINK("https://klasma.github.io/Logging_0191/klagomålsmail/A 11714-2021 FSC-klagomål mail.docx", "A 11714-2021")</f>
        <v/>
      </c>
      <c r="X15">
        <f>HYPERLINK("https://klasma.github.io/Logging_0191/tillsyn/A 11714-2021 tillsynsbegäran.docx", "A 11714-2021")</f>
        <v/>
      </c>
      <c r="Y15">
        <f>HYPERLINK("https://klasma.github.io/Logging_0191/tillsynsmail/A 11714-2021 tillsynsbegäran mail.docx", "A 11714-2021")</f>
        <v/>
      </c>
    </row>
    <row r="16" ht="15" customHeight="1">
      <c r="A16" t="inlineStr">
        <is>
          <t>A 20571-2020</t>
        </is>
      </c>
      <c r="B16" s="1" t="n">
        <v>43948</v>
      </c>
      <c r="C16" s="1" t="n">
        <v>45719</v>
      </c>
      <c r="D16" t="inlineStr">
        <is>
          <t>STOCKHOLMS LÄN</t>
        </is>
      </c>
      <c r="E16" t="inlineStr">
        <is>
          <t>SIGTUNA</t>
        </is>
      </c>
      <c r="G16" t="n">
        <v>2.9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Nordfladdermus
Dvärgpipistrell
Större brunfladdermus</t>
        </is>
      </c>
      <c r="S16">
        <f>HYPERLINK("https://klasma.github.io/Logging_0191/artfynd/A 20571-2020 artfynd.xlsx", "A 20571-2020")</f>
        <v/>
      </c>
      <c r="T16">
        <f>HYPERLINK("https://klasma.github.io/Logging_0191/kartor/A 20571-2020 karta.png", "A 20571-2020")</f>
        <v/>
      </c>
      <c r="V16">
        <f>HYPERLINK("https://klasma.github.io/Logging_0191/klagomål/A 20571-2020 FSC-klagomål.docx", "A 20571-2020")</f>
        <v/>
      </c>
      <c r="W16">
        <f>HYPERLINK("https://klasma.github.io/Logging_0191/klagomålsmail/A 20571-2020 FSC-klagomål mail.docx", "A 20571-2020")</f>
        <v/>
      </c>
      <c r="X16">
        <f>HYPERLINK("https://klasma.github.io/Logging_0191/tillsyn/A 20571-2020 tillsynsbegäran.docx", "A 20571-2020")</f>
        <v/>
      </c>
      <c r="Y16">
        <f>HYPERLINK("https://klasma.github.io/Logging_0191/tillsynsmail/A 20571-2020 tillsynsbegäran mail.docx", "A 20571-2020")</f>
        <v/>
      </c>
    </row>
    <row r="17" ht="15" customHeight="1">
      <c r="A17" t="inlineStr">
        <is>
          <t>A 24386-2020</t>
        </is>
      </c>
      <c r="B17" s="1" t="n">
        <v>43973</v>
      </c>
      <c r="C17" s="1" t="n">
        <v>45719</v>
      </c>
      <c r="D17" t="inlineStr">
        <is>
          <t>STOCKHOLMS LÄN</t>
        </is>
      </c>
      <c r="E17" t="inlineStr">
        <is>
          <t>SIGTUNA</t>
        </is>
      </c>
      <c r="G17" t="n">
        <v>4.5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Granticka
Ullticka
Blåsippa</t>
        </is>
      </c>
      <c r="S17">
        <f>HYPERLINK("https://klasma.github.io/Logging_0191/artfynd/A 24386-2020 artfynd.xlsx", "A 24386-2020")</f>
        <v/>
      </c>
      <c r="T17">
        <f>HYPERLINK("https://klasma.github.io/Logging_0191/kartor/A 24386-2020 karta.png", "A 24386-2020")</f>
        <v/>
      </c>
      <c r="V17">
        <f>HYPERLINK("https://klasma.github.io/Logging_0191/klagomål/A 24386-2020 FSC-klagomål.docx", "A 24386-2020")</f>
        <v/>
      </c>
      <c r="W17">
        <f>HYPERLINK("https://klasma.github.io/Logging_0191/klagomålsmail/A 24386-2020 FSC-klagomål mail.docx", "A 24386-2020")</f>
        <v/>
      </c>
      <c r="X17">
        <f>HYPERLINK("https://klasma.github.io/Logging_0191/tillsyn/A 24386-2020 tillsynsbegäran.docx", "A 24386-2020")</f>
        <v/>
      </c>
      <c r="Y17">
        <f>HYPERLINK("https://klasma.github.io/Logging_0191/tillsynsmail/A 24386-2020 tillsynsbegäran mail.docx", "A 24386-2020")</f>
        <v/>
      </c>
    </row>
    <row r="18" ht="15" customHeight="1">
      <c r="A18" t="inlineStr">
        <is>
          <t>A 18451-2024</t>
        </is>
      </c>
      <c r="B18" s="1" t="n">
        <v>45425</v>
      </c>
      <c r="C18" s="1" t="n">
        <v>45719</v>
      </c>
      <c r="D18" t="inlineStr">
        <is>
          <t>STOCKHOLMS LÄN</t>
        </is>
      </c>
      <c r="E18" t="inlineStr">
        <is>
          <t>SIGTUNA</t>
        </is>
      </c>
      <c r="G18" t="n">
        <v>6.4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Kungsfågel
Blåsippa</t>
        </is>
      </c>
      <c r="S18">
        <f>HYPERLINK("https://klasma.github.io/Logging_0191/artfynd/A 18451-2024 artfynd.xlsx", "A 18451-2024")</f>
        <v/>
      </c>
      <c r="T18">
        <f>HYPERLINK("https://klasma.github.io/Logging_0191/kartor/A 18451-2024 karta.png", "A 18451-2024")</f>
        <v/>
      </c>
      <c r="V18">
        <f>HYPERLINK("https://klasma.github.io/Logging_0191/klagomål/A 18451-2024 FSC-klagomål.docx", "A 18451-2024")</f>
        <v/>
      </c>
      <c r="W18">
        <f>HYPERLINK("https://klasma.github.io/Logging_0191/klagomålsmail/A 18451-2024 FSC-klagomål mail.docx", "A 18451-2024")</f>
        <v/>
      </c>
      <c r="X18">
        <f>HYPERLINK("https://klasma.github.io/Logging_0191/tillsyn/A 18451-2024 tillsynsbegäran.docx", "A 18451-2024")</f>
        <v/>
      </c>
      <c r="Y18">
        <f>HYPERLINK("https://klasma.github.io/Logging_0191/tillsynsmail/A 18451-2024 tillsynsbegäran mail.docx", "A 18451-2024")</f>
        <v/>
      </c>
      <c r="Z18">
        <f>HYPERLINK("https://klasma.github.io/Logging_0191/fåglar/A 18451-2024 prioriterade fågelarter.docx", "A 18451-2024")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45719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64357-2023</t>
        </is>
      </c>
      <c r="B20" s="1" t="n">
        <v>45280</v>
      </c>
      <c r="C20" s="1" t="n">
        <v>45719</v>
      </c>
      <c r="D20" t="inlineStr">
        <is>
          <t>STOCKHOLMS LÄN</t>
        </is>
      </c>
      <c r="E20" t="inlineStr">
        <is>
          <t>SIGTUNA</t>
        </is>
      </c>
      <c r="F20" t="inlineStr">
        <is>
          <t>Allmännings- och besparingsskogar</t>
        </is>
      </c>
      <c r="G20" t="n">
        <v>6.7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Grönsiska
Pudrad kärrtrollslända</t>
        </is>
      </c>
      <c r="S20">
        <f>HYPERLINK("https://klasma.github.io/Logging_0191/artfynd/A 64357-2023 artfynd.xlsx", "A 64357-2023")</f>
        <v/>
      </c>
      <c r="T20">
        <f>HYPERLINK("https://klasma.github.io/Logging_0191/kartor/A 64357-2023 karta.png", "A 64357-2023")</f>
        <v/>
      </c>
      <c r="V20">
        <f>HYPERLINK("https://klasma.github.io/Logging_0191/klagomål/A 64357-2023 FSC-klagomål.docx", "A 64357-2023")</f>
        <v/>
      </c>
      <c r="W20">
        <f>HYPERLINK("https://klasma.github.io/Logging_0191/klagomålsmail/A 64357-2023 FSC-klagomål mail.docx", "A 64357-2023")</f>
        <v/>
      </c>
      <c r="X20">
        <f>HYPERLINK("https://klasma.github.io/Logging_0191/tillsyn/A 64357-2023 tillsynsbegäran.docx", "A 64357-2023")</f>
        <v/>
      </c>
      <c r="Y20">
        <f>HYPERLINK("https://klasma.github.io/Logging_0191/tillsynsmail/A 64357-2023 tillsynsbegäran mail.docx", "A 64357-2023")</f>
        <v/>
      </c>
      <c r="Z20">
        <f>HYPERLINK("https://klasma.github.io/Logging_0191/fåglar/A 64357-2023 prioriterade fågelarter.docx", "A 64357-2023")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45719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16461-2021</t>
        </is>
      </c>
      <c r="B22" s="1" t="n">
        <v>44293</v>
      </c>
      <c r="C22" s="1" t="n">
        <v>45719</v>
      </c>
      <c r="D22" t="inlineStr">
        <is>
          <t>STOCKHOLMS LÄN</t>
        </is>
      </c>
      <c r="E22" t="inlineStr">
        <is>
          <t>SIGTUNA</t>
        </is>
      </c>
      <c r="G22" t="n">
        <v>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vattensalamander</t>
        </is>
      </c>
      <c r="S22">
        <f>HYPERLINK("https://klasma.github.io/Logging_0191/artfynd/A 16461-2021 artfynd.xlsx", "A 16461-2021")</f>
        <v/>
      </c>
      <c r="T22">
        <f>HYPERLINK("https://klasma.github.io/Logging_0191/kartor/A 16461-2021 karta.png", "A 16461-2021")</f>
        <v/>
      </c>
      <c r="V22">
        <f>HYPERLINK("https://klasma.github.io/Logging_0191/klagomål/A 16461-2021 FSC-klagomål.docx", "A 16461-2021")</f>
        <v/>
      </c>
      <c r="W22">
        <f>HYPERLINK("https://klasma.github.io/Logging_0191/klagomålsmail/A 16461-2021 FSC-klagomål mail.docx", "A 16461-2021")</f>
        <v/>
      </c>
      <c r="X22">
        <f>HYPERLINK("https://klasma.github.io/Logging_0191/tillsyn/A 16461-2021 tillsynsbegäran.docx", "A 16461-2021")</f>
        <v/>
      </c>
      <c r="Y22">
        <f>HYPERLINK("https://klasma.github.io/Logging_0191/tillsynsmail/A 16461-2021 tillsynsbegäran mail.docx", "A 16461-2021")</f>
        <v/>
      </c>
    </row>
    <row r="23" ht="15" customHeight="1">
      <c r="A23" t="inlineStr">
        <is>
          <t>A 51189-2022</t>
        </is>
      </c>
      <c r="B23" s="1" t="n">
        <v>44865</v>
      </c>
      <c r="C23" s="1" t="n">
        <v>45719</v>
      </c>
      <c r="D23" t="inlineStr">
        <is>
          <t>STOCKHOLMS LÄN</t>
        </is>
      </c>
      <c r="E23" t="inlineStr">
        <is>
          <t>SIGTUNA</t>
        </is>
      </c>
      <c r="G23" t="n">
        <v>32.8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HYPERLINK("https://klasma.github.io/Logging_0191/artfynd/A 51189-2022 artfynd.xlsx", "A 51189-2022")</f>
        <v/>
      </c>
      <c r="T23">
        <f>HYPERLINK("https://klasma.github.io/Logging_0191/kartor/A 51189-2022 karta.png", "A 51189-2022")</f>
        <v/>
      </c>
      <c r="V23">
        <f>HYPERLINK("https://klasma.github.io/Logging_0191/klagomål/A 51189-2022 FSC-klagomål.docx", "A 51189-2022")</f>
        <v/>
      </c>
      <c r="W23">
        <f>HYPERLINK("https://klasma.github.io/Logging_0191/klagomålsmail/A 51189-2022 FSC-klagomål mail.docx", "A 51189-2022")</f>
        <v/>
      </c>
      <c r="X23">
        <f>HYPERLINK("https://klasma.github.io/Logging_0191/tillsyn/A 51189-2022 tillsynsbegäran.docx", "A 51189-2022")</f>
        <v/>
      </c>
      <c r="Y23">
        <f>HYPERLINK("https://klasma.github.io/Logging_0191/tillsynsmail/A 51189-2022 tillsynsbegäran mail.docx", "A 51189-2022")</f>
        <v/>
      </c>
    </row>
    <row r="24" ht="15" customHeight="1">
      <c r="A24" t="inlineStr">
        <is>
          <t>A 8149-2023</t>
        </is>
      </c>
      <c r="B24" s="1" t="n">
        <v>44974</v>
      </c>
      <c r="C24" s="1" t="n">
        <v>45719</v>
      </c>
      <c r="D24" t="inlineStr">
        <is>
          <t>STOCKHOLMS LÄN</t>
        </is>
      </c>
      <c r="E24" t="inlineStr">
        <is>
          <t>SIGTUNA</t>
        </is>
      </c>
      <c r="G24" t="n">
        <v>11.5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Trubbdaggkåpa</t>
        </is>
      </c>
      <c r="S24">
        <f>HYPERLINK("https://klasma.github.io/Logging_0191/artfynd/A 8149-2023 artfynd.xlsx", "A 8149-2023")</f>
        <v/>
      </c>
      <c r="T24">
        <f>HYPERLINK("https://klasma.github.io/Logging_0191/kartor/A 8149-2023 karta.png", "A 8149-2023")</f>
        <v/>
      </c>
      <c r="V24">
        <f>HYPERLINK("https://klasma.github.io/Logging_0191/klagomål/A 8149-2023 FSC-klagomål.docx", "A 8149-2023")</f>
        <v/>
      </c>
      <c r="W24">
        <f>HYPERLINK("https://klasma.github.io/Logging_0191/klagomålsmail/A 8149-2023 FSC-klagomål mail.docx", "A 8149-2023")</f>
        <v/>
      </c>
      <c r="X24">
        <f>HYPERLINK("https://klasma.github.io/Logging_0191/tillsyn/A 8149-2023 tillsynsbegäran.docx", "A 8149-2023")</f>
        <v/>
      </c>
      <c r="Y24">
        <f>HYPERLINK("https://klasma.github.io/Logging_0191/tillsynsmail/A 8149-2023 tillsynsbegäran mail.docx", "A 8149-2023")</f>
        <v/>
      </c>
    </row>
    <row r="25" ht="15" customHeight="1">
      <c r="A25" t="inlineStr">
        <is>
          <t>A 15452-2023</t>
        </is>
      </c>
      <c r="B25" s="1" t="n">
        <v>45020</v>
      </c>
      <c r="C25" s="1" t="n">
        <v>45719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HYPERLINK("https://klasma.github.io/Logging_0191/artfynd/A 15452-2023 artfynd.xlsx", "A 15452-2023")</f>
        <v/>
      </c>
      <c r="T25">
        <f>HYPERLINK("https://klasma.github.io/Logging_0191/kartor/A 15452-2023 karta.png", "A 15452-2023")</f>
        <v/>
      </c>
      <c r="V25">
        <f>HYPERLINK("https://klasma.github.io/Logging_0191/klagomål/A 15452-2023 FSC-klagomål.docx", "A 15452-2023")</f>
        <v/>
      </c>
      <c r="W25">
        <f>HYPERLINK("https://klasma.github.io/Logging_0191/klagomålsmail/A 15452-2023 FSC-klagomål mail.docx", "A 15452-2023")</f>
        <v/>
      </c>
      <c r="X25">
        <f>HYPERLINK("https://klasma.github.io/Logging_0191/tillsyn/A 15452-2023 tillsynsbegäran.docx", "A 15452-2023")</f>
        <v/>
      </c>
      <c r="Y25">
        <f>HYPERLINK("https://klasma.github.io/Logging_0191/tillsynsmail/A 15452-2023 tillsynsbegäran mail.docx", "A 15452-2023")</f>
        <v/>
      </c>
      <c r="Z25">
        <f>HYPERLINK("https://klasma.github.io/Logging_0191/fåglar/A 15452-2023 prioriterade fågelarter.docx", "A 15452-2023")</f>
        <v/>
      </c>
    </row>
    <row r="26" ht="15" customHeight="1">
      <c r="A26" t="inlineStr">
        <is>
          <t>A 39716-2023</t>
        </is>
      </c>
      <c r="B26" s="1" t="n">
        <v>45166</v>
      </c>
      <c r="C26" s="1" t="n">
        <v>45719</v>
      </c>
      <c r="D26" t="inlineStr">
        <is>
          <t>STOCKHOLMS LÄN</t>
        </is>
      </c>
      <c r="E26" t="inlineStr">
        <is>
          <t>SIGTUNA</t>
        </is>
      </c>
      <c r="G26" t="n">
        <v>3.5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Hornuggla</t>
        </is>
      </c>
      <c r="S26">
        <f>HYPERLINK("https://klasma.github.io/Logging_0191/artfynd/A 39716-2023 artfynd.xlsx", "A 39716-2023")</f>
        <v/>
      </c>
      <c r="T26">
        <f>HYPERLINK("https://klasma.github.io/Logging_0191/kartor/A 39716-2023 karta.png", "A 39716-2023")</f>
        <v/>
      </c>
      <c r="V26">
        <f>HYPERLINK("https://klasma.github.io/Logging_0191/klagomål/A 39716-2023 FSC-klagomål.docx", "A 39716-2023")</f>
        <v/>
      </c>
      <c r="W26">
        <f>HYPERLINK("https://klasma.github.io/Logging_0191/klagomålsmail/A 39716-2023 FSC-klagomål mail.docx", "A 39716-2023")</f>
        <v/>
      </c>
      <c r="X26">
        <f>HYPERLINK("https://klasma.github.io/Logging_0191/tillsyn/A 39716-2023 tillsynsbegäran.docx", "A 39716-2023")</f>
        <v/>
      </c>
      <c r="Y26">
        <f>HYPERLINK("https://klasma.github.io/Logging_0191/tillsynsmail/A 39716-2023 tillsynsbegäran mail.docx", "A 39716-2023")</f>
        <v/>
      </c>
      <c r="Z26">
        <f>HYPERLINK("https://klasma.github.io/Logging_0191/fåglar/A 39716-2023 prioriterade fågelarter.docx", "A 39716-2023")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45719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45719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45719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45719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45719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45719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45719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45719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45719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45719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45719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45719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45719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45719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45719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45719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45719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45719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45719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45719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45719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45719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45719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45719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45719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45719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45719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45719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45719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45719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45719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45719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45719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45719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45719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45719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45719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45719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45719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45719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45719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45719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45719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45719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45719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45719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45719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45719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45719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45719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45719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45719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45719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45719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45719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45719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45719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45719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45719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45719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45719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45719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45719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45719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45719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45719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45719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45719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45719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45719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45719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45719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45719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45719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45719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45719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45719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45719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45719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45719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45719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45719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45719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45719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45719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45719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45719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45719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45719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45719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45719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45719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45719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45719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45719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45719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45719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45719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45719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45719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45719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45719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45719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45719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45719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45719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45719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45719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45719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45719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45719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45719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45719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45719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45719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45719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45719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45719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45719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45719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45719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45719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45719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45719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45719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45719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45719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45719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45719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45719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45719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45719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45719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45719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45719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45719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45719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45719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45719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45719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45719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45719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45719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45719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45719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45719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45719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45719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45719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45719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45719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45719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45719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45719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45719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45719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45719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45719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42572-2024</t>
        </is>
      </c>
      <c r="B185" s="1" t="n">
        <v>45565</v>
      </c>
      <c r="C185" s="1" t="n">
        <v>45719</v>
      </c>
      <c r="D185" t="inlineStr">
        <is>
          <t>STOCKHOLMS LÄN</t>
        </is>
      </c>
      <c r="E185" t="inlineStr">
        <is>
          <t>SIGTUNA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42569-2024</t>
        </is>
      </c>
      <c r="B186" s="1" t="n">
        <v>45565</v>
      </c>
      <c r="C186" s="1" t="n">
        <v>45719</v>
      </c>
      <c r="D186" t="inlineStr">
        <is>
          <t>STOCKHOLMS LÄN</t>
        </is>
      </c>
      <c r="E186" t="inlineStr">
        <is>
          <t>SIGTUNA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42567-2024</t>
        </is>
      </c>
      <c r="B187" s="1" t="n">
        <v>45565</v>
      </c>
      <c r="C187" s="1" t="n">
        <v>45719</v>
      </c>
      <c r="D187" t="inlineStr">
        <is>
          <t>STOCKHOLMS LÄN</t>
        </is>
      </c>
      <c r="E187" t="inlineStr">
        <is>
          <t>SIGTUNA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42563-2024</t>
        </is>
      </c>
      <c r="B188" s="1" t="n">
        <v>45565</v>
      </c>
      <c r="C188" s="1" t="n">
        <v>45719</v>
      </c>
      <c r="D188" t="inlineStr">
        <is>
          <t>STOCKHOLMS LÄN</t>
        </is>
      </c>
      <c r="E188" t="inlineStr">
        <is>
          <t>SIGTUNA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45719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43159-2024</t>
        </is>
      </c>
      <c r="B190" s="1" t="n">
        <v>45567</v>
      </c>
      <c r="C190" s="1" t="n">
        <v>45719</v>
      </c>
      <c r="D190" t="inlineStr">
        <is>
          <t>STOCKHOLMS LÄN</t>
        </is>
      </c>
      <c r="E190" t="inlineStr">
        <is>
          <t>SIGTUNA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43158-2024</t>
        </is>
      </c>
      <c r="B191" s="1" t="n">
        <v>45567</v>
      </c>
      <c r="C191" s="1" t="n">
        <v>45719</v>
      </c>
      <c r="D191" t="inlineStr">
        <is>
          <t>STOCKHOLMS LÄN</t>
        </is>
      </c>
      <c r="E191" t="inlineStr">
        <is>
          <t>SIGTUNA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45719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45233-2024</t>
        </is>
      </c>
      <c r="B193" s="1" t="n">
        <v>45575</v>
      </c>
      <c r="C193" s="1" t="n">
        <v>45719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48384-2024</t>
        </is>
      </c>
      <c r="B194" s="1" t="n">
        <v>45590</v>
      </c>
      <c r="C194" s="1" t="n">
        <v>45719</v>
      </c>
      <c r="D194" t="inlineStr">
        <is>
          <t>STOCKHOLMS LÄN</t>
        </is>
      </c>
      <c r="E194" t="inlineStr">
        <is>
          <t>SIGTUNA</t>
        </is>
      </c>
      <c r="F194" t="inlineStr">
        <is>
          <t>Allmännings- och besparingsskogar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48375-2024</t>
        </is>
      </c>
      <c r="B195" s="1" t="n">
        <v>45590</v>
      </c>
      <c r="C195" s="1" t="n">
        <v>45719</v>
      </c>
      <c r="D195" t="inlineStr">
        <is>
          <t>STOCKHOLMS LÄN</t>
        </is>
      </c>
      <c r="E195" t="inlineStr">
        <is>
          <t>SIGTUNA</t>
        </is>
      </c>
      <c r="F195" t="inlineStr">
        <is>
          <t>Allmännings- och besparingsskogar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51902-2024</t>
        </is>
      </c>
      <c r="B196" s="1" t="n">
        <v>45607</v>
      </c>
      <c r="C196" s="1" t="n">
        <v>45719</v>
      </c>
      <c r="D196" t="inlineStr">
        <is>
          <t>STOCKHOLMS LÄN</t>
        </is>
      </c>
      <c r="E196" t="inlineStr">
        <is>
          <t>SIGTUNA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51848-2024</t>
        </is>
      </c>
      <c r="B197" s="1" t="n">
        <v>45607</v>
      </c>
      <c r="C197" s="1" t="n">
        <v>45719</v>
      </c>
      <c r="D197" t="inlineStr">
        <is>
          <t>STOCKHOLMS LÄN</t>
        </is>
      </c>
      <c r="E197" t="inlineStr">
        <is>
          <t>SIGTUNA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59156-2024</t>
        </is>
      </c>
      <c r="B198" s="1" t="n">
        <v>45636</v>
      </c>
      <c r="C198" s="1" t="n">
        <v>45719</v>
      </c>
      <c r="D198" t="inlineStr">
        <is>
          <t>STOCKHOLMS LÄN</t>
        </is>
      </c>
      <c r="E198" t="inlineStr">
        <is>
          <t>SIGTUNA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58839-2024</t>
        </is>
      </c>
      <c r="B199" s="1" t="n">
        <v>45636</v>
      </c>
      <c r="C199" s="1" t="n">
        <v>45719</v>
      </c>
      <c r="D199" t="inlineStr">
        <is>
          <t>STOCKHOLMS LÄN</t>
        </is>
      </c>
      <c r="E199" t="inlineStr">
        <is>
          <t>SIGTUNA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60205-2024</t>
        </is>
      </c>
      <c r="B200" s="1" t="n">
        <v>45642</v>
      </c>
      <c r="C200" s="1" t="n">
        <v>45719</v>
      </c>
      <c r="D200" t="inlineStr">
        <is>
          <t>STOCKHOLMS LÄN</t>
        </is>
      </c>
      <c r="E200" t="inlineStr">
        <is>
          <t>SIGTUNA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60423-2024</t>
        </is>
      </c>
      <c r="B201" s="1" t="n">
        <v>45643</v>
      </c>
      <c r="C201" s="1" t="n">
        <v>45719</v>
      </c>
      <c r="D201" t="inlineStr">
        <is>
          <t>STOCKHOLMS LÄN</t>
        </is>
      </c>
      <c r="E201" t="inlineStr">
        <is>
          <t>SIGTUNA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60434-2024</t>
        </is>
      </c>
      <c r="B202" s="1" t="n">
        <v>45643</v>
      </c>
      <c r="C202" s="1" t="n">
        <v>45719</v>
      </c>
      <c r="D202" t="inlineStr">
        <is>
          <t>STOCKHOLMS LÄN</t>
        </is>
      </c>
      <c r="E202" t="inlineStr">
        <is>
          <t>SIGTUNA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60455-2024</t>
        </is>
      </c>
      <c r="B203" s="1" t="n">
        <v>45643</v>
      </c>
      <c r="C203" s="1" t="n">
        <v>45719</v>
      </c>
      <c r="D203" t="inlineStr">
        <is>
          <t>STOCKHOLMS LÄN</t>
        </is>
      </c>
      <c r="E203" t="inlineStr">
        <is>
          <t>SIGTUNA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60865-2024</t>
        </is>
      </c>
      <c r="B204" s="1" t="n">
        <v>45644</v>
      </c>
      <c r="C204" s="1" t="n">
        <v>45719</v>
      </c>
      <c r="D204" t="inlineStr">
        <is>
          <t>STOCKHOLMS LÄN</t>
        </is>
      </c>
      <c r="E204" t="inlineStr">
        <is>
          <t>SIGTUNA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61576-2024</t>
        </is>
      </c>
      <c r="B205" s="1" t="n">
        <v>45646</v>
      </c>
      <c r="C205" s="1" t="n">
        <v>45719</v>
      </c>
      <c r="D205" t="inlineStr">
        <is>
          <t>STOCKHOLMS LÄN</t>
        </is>
      </c>
      <c r="E205" t="inlineStr">
        <is>
          <t>SIGTUNA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61582-2024</t>
        </is>
      </c>
      <c r="B206" s="1" t="n">
        <v>45646</v>
      </c>
      <c r="C206" s="1" t="n">
        <v>45719</v>
      </c>
      <c r="D206" t="inlineStr">
        <is>
          <t>STOCKHOLMS LÄN</t>
        </is>
      </c>
      <c r="E206" t="inlineStr">
        <is>
          <t>SIGTUNA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61569-2024</t>
        </is>
      </c>
      <c r="B207" s="1" t="n">
        <v>45646</v>
      </c>
      <c r="C207" s="1" t="n">
        <v>45719</v>
      </c>
      <c r="D207" t="inlineStr">
        <is>
          <t>STOCKHOLMS LÄN</t>
        </is>
      </c>
      <c r="E207" t="inlineStr">
        <is>
          <t>SIGTUNA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61589-2024</t>
        </is>
      </c>
      <c r="B208" s="1" t="n">
        <v>45646</v>
      </c>
      <c r="C208" s="1" t="n">
        <v>45719</v>
      </c>
      <c r="D208" t="inlineStr">
        <is>
          <t>STOCKHOLMS LÄN</t>
        </is>
      </c>
      <c r="E208" t="inlineStr">
        <is>
          <t>SIGTUNA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273-2025</t>
        </is>
      </c>
      <c r="B209" s="1" t="n">
        <v>45653</v>
      </c>
      <c r="C209" s="1" t="n">
        <v>45719</v>
      </c>
      <c r="D209" t="inlineStr">
        <is>
          <t>STOCKHOLMS LÄN</t>
        </is>
      </c>
      <c r="E209" t="inlineStr">
        <is>
          <t>SIGTUNA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323-2025</t>
        </is>
      </c>
      <c r="B210" s="1" t="n">
        <v>45656</v>
      </c>
      <c r="C210" s="1" t="n">
        <v>45719</v>
      </c>
      <c r="D210" t="inlineStr">
        <is>
          <t>STOCKHOLMS LÄN</t>
        </is>
      </c>
      <c r="E210" t="inlineStr">
        <is>
          <t>SIGTUNA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1628-2025</t>
        </is>
      </c>
      <c r="B211" s="1" t="n">
        <v>45670</v>
      </c>
      <c r="C211" s="1" t="n">
        <v>45719</v>
      </c>
      <c r="D211" t="inlineStr">
        <is>
          <t>STOCKHOLMS LÄN</t>
        </is>
      </c>
      <c r="E211" t="inlineStr">
        <is>
          <t>SIGTUNA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2898-2025</t>
        </is>
      </c>
      <c r="B212" s="1" t="n">
        <v>45677</v>
      </c>
      <c r="C212" s="1" t="n">
        <v>45719</v>
      </c>
      <c r="D212" t="inlineStr">
        <is>
          <t>STOCKHOLMS LÄN</t>
        </is>
      </c>
      <c r="E212" t="inlineStr">
        <is>
          <t>SIGTUNA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2896-2025</t>
        </is>
      </c>
      <c r="B213" s="1" t="n">
        <v>45677</v>
      </c>
      <c r="C213" s="1" t="n">
        <v>45719</v>
      </c>
      <c r="D213" t="inlineStr">
        <is>
          <t>STOCKHOLMS LÄN</t>
        </is>
      </c>
      <c r="E213" t="inlineStr">
        <is>
          <t>SIGTUNA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3890-2025</t>
        </is>
      </c>
      <c r="B214" s="1" t="n">
        <v>45684</v>
      </c>
      <c r="C214" s="1" t="n">
        <v>45719</v>
      </c>
      <c r="D214" t="inlineStr">
        <is>
          <t>STOCKHOLMS LÄN</t>
        </is>
      </c>
      <c r="E214" t="inlineStr">
        <is>
          <t>SIGTUNA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5883-2025</t>
        </is>
      </c>
      <c r="B215" s="1" t="n">
        <v>45695</v>
      </c>
      <c r="C215" s="1" t="n">
        <v>45719</v>
      </c>
      <c r="D215" t="inlineStr">
        <is>
          <t>STOCKHOLMS LÄN</t>
        </is>
      </c>
      <c r="E215" t="inlineStr">
        <is>
          <t>SIGTUNA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5869-2025</t>
        </is>
      </c>
      <c r="B216" s="1" t="n">
        <v>45695</v>
      </c>
      <c r="C216" s="1" t="n">
        <v>45719</v>
      </c>
      <c r="D216" t="inlineStr">
        <is>
          <t>STOCKHOLMS LÄN</t>
        </is>
      </c>
      <c r="E216" t="inlineStr">
        <is>
          <t>SIGTUNA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6826-2025</t>
        </is>
      </c>
      <c r="B217" s="1" t="n">
        <v>45700</v>
      </c>
      <c r="C217" s="1" t="n">
        <v>45719</v>
      </c>
      <c r="D217" t="inlineStr">
        <is>
          <t>STOCKHOLMS LÄN</t>
        </is>
      </c>
      <c r="E217" t="inlineStr">
        <is>
          <t>SIGTUNA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8673-2025</t>
        </is>
      </c>
      <c r="B218" s="1" t="n">
        <v>45712</v>
      </c>
      <c r="C218" s="1" t="n">
        <v>45719</v>
      </c>
      <c r="D218" t="inlineStr">
        <is>
          <t>STOCKHOLMS LÄN</t>
        </is>
      </c>
      <c r="E218" t="inlineStr">
        <is>
          <t>SIGTUNA</t>
        </is>
      </c>
      <c r="F218" t="inlineStr">
        <is>
          <t>Allmännings- och besparingsskogar</t>
        </is>
      </c>
      <c r="G218" t="n">
        <v>9.6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9120-2025</t>
        </is>
      </c>
      <c r="B219" s="1" t="n">
        <v>45713</v>
      </c>
      <c r="C219" s="1" t="n">
        <v>45719</v>
      </c>
      <c r="D219" t="inlineStr">
        <is>
          <t>STOCKHOLMS LÄN</t>
        </is>
      </c>
      <c r="E219" t="inlineStr">
        <is>
          <t>SIGTUNA</t>
        </is>
      </c>
      <c r="F219" t="inlineStr">
        <is>
          <t>Allmännings- och besparingsskogar</t>
        </is>
      </c>
      <c r="G219" t="n">
        <v>9.699999999999999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2025-03-03T20:16:25Z</dcterms:created>
  <dcterms:modified xmlns:dcterms="http://purl.org/dc/terms/" xmlns:xsi="http://www.w3.org/2001/XMLSchema-instance" xsi:type="dcterms:W3CDTF">2025-03-03T20:16:25Z</dcterms:modified>
</cp:coreProperties>
</file>
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46281</v>
      </c>
      <c r="F2" t="inlineStr">
        <is>
          <t>STOCKHOLMS LÄN</t>
        </is>
      </c>
      <c r="G2" t="inlineStr">
        <is>
          <t>SIGTUNA</t>
        </is>
      </c>
      <c r="H2" t="inlineStr">
        <is>
          <t>Övriga statliga verk och myndigheter</t>
        </is>
      </c>
      <c r="I2" t="n">
        <v>210.3</v>
      </c>
      <c r="J2" t="n">
        <v>72</v>
      </c>
      <c r="K2" t="n">
        <v>36</v>
      </c>
      <c r="L2" t="n">
        <v>61</v>
      </c>
      <c r="M2" t="n">
        <v>25</v>
      </c>
      <c r="N2" t="n">
        <v>12</v>
      </c>
      <c r="O2" t="n">
        <v>2</v>
      </c>
      <c r="P2" t="n">
        <v>0</v>
      </c>
      <c r="Q2" t="n">
        <v>104</v>
      </c>
      <c r="R2" t="n">
        <v>39</v>
      </c>
      <c r="S2" t="n">
        <v>173</v>
      </c>
      <c r="T2" t="n">
        <v>1754</v>
      </c>
      <c r="U2" t="n">
        <v>1602</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46281</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46281</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46281</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46281</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46281</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46281</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51189-2022</t>
        </is>
      </c>
      <c r="B9" t="inlineStr">
        <is>
          <t>avverkningsanmälan</t>
        </is>
      </c>
      <c r="C9" t="inlineStr">
        <is>
          <t>Avverkning för annat ändamål</t>
        </is>
      </c>
      <c r="D9" s="1" t="n">
        <v>44865</v>
      </c>
      <c r="E9" s="1" t="n">
        <v>46281</v>
      </c>
      <c r="F9" t="inlineStr">
        <is>
          <t>STOCKHOLMS LÄN</t>
        </is>
      </c>
      <c r="G9" t="inlineStr">
        <is>
          <t>SIGTUNA</t>
        </is>
      </c>
      <c r="I9" t="n">
        <v>32.8</v>
      </c>
      <c r="J9" t="n">
        <v>3</v>
      </c>
      <c r="K9" t="n">
        <v>0</v>
      </c>
      <c r="L9" t="n">
        <v>1</v>
      </c>
      <c r="M9" t="n">
        <v>0</v>
      </c>
      <c r="N9" t="n">
        <v>0</v>
      </c>
      <c r="O9" t="n">
        <v>0</v>
      </c>
      <c r="P9" t="n">
        <v>0</v>
      </c>
      <c r="Q9" t="n">
        <v>1</v>
      </c>
      <c r="R9" t="n">
        <v>0</v>
      </c>
      <c r="S9" t="n">
        <v>4</v>
      </c>
      <c r="T9" t="n">
        <v>41</v>
      </c>
      <c r="U9" t="n">
        <v>41</v>
      </c>
      <c r="V9" s="2" t="inlineStr">
        <is>
          <t>Vedskivlav
Större vattensalamander
Åkergroda
Mindre vattensalamander</t>
        </is>
      </c>
      <c r="W9">
        <f>HYPERLINK("https://klasma.github.io/Logging_0191/artfynd/A 51189-2022 artfynd.xlsx", "A 51189-2022")</f>
        <v/>
      </c>
      <c r="X9">
        <f>HYPERLINK("https://klasma.github.io/Logging_0191/kartor/A 51189-2022 karta.png", "A 51189-2022")</f>
        <v/>
      </c>
      <c r="Y9">
        <f>HYPERLINK("https://klasma.github.io/Logging_0191/kartor_geotiff/A 51189-2022 georefererad karta.tif", "A 51189-2022")</f>
        <v/>
      </c>
      <c r="AA9">
        <f>HYPERLINK("https://klasma.github.io/Logging_0191/klagomål/A 51189-2022 FSC-klagomål.docx", "A 51189-2022")</f>
        <v/>
      </c>
      <c r="AB9">
        <f>HYPERLINK("https://klasma.github.io/Logging_0191/klagomålsmail/A 51189-2022 FSC-klagomål mail.docx", "A 51189-2022")</f>
        <v/>
      </c>
      <c r="AC9">
        <f>HYPERLINK("https://klasma.github.io/Logging_0191/tillsyn/A 51189-2022 tillsynsbegäran.docx", "A 51189-2022")</f>
        <v/>
      </c>
      <c r="AD9">
        <f>HYPERLINK("https://klasma.github.io/Logging_0191/tillsynsmail/A 51189-2022 tillsynsbegäran mail.docx", "A 51189-2022")</f>
        <v/>
      </c>
    </row>
    <row r="10" ht="15" customHeight="1">
      <c r="A10" t="inlineStr">
        <is>
          <t>A 22400-2025</t>
        </is>
      </c>
      <c r="B10" t="inlineStr">
        <is>
          <t>avverkningsanmälan</t>
        </is>
      </c>
      <c r="C10" t="inlineStr">
        <is>
          <t>Föryngringsavverkning</t>
        </is>
      </c>
      <c r="D10" s="1" t="n">
        <v>45786</v>
      </c>
      <c r="E10" s="1" t="n">
        <v>46281</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46281</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46281</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64345-2023</t>
        </is>
      </c>
      <c r="B13" t="inlineStr">
        <is>
          <t>avverkningsanmälan</t>
        </is>
      </c>
      <c r="C13" t="inlineStr">
        <is>
          <t>Avverkning för annat ändamål</t>
        </is>
      </c>
      <c r="D13" s="1" t="n">
        <v>45280</v>
      </c>
      <c r="E13" s="1" t="n">
        <v>46281</v>
      </c>
      <c r="F13" t="inlineStr">
        <is>
          <t>STOCKHOLMS LÄN</t>
        </is>
      </c>
      <c r="G13" t="inlineStr">
        <is>
          <t>SIGTUNA</t>
        </is>
      </c>
      <c r="I13" t="n">
        <v>2.7</v>
      </c>
      <c r="J13" t="n">
        <v>2</v>
      </c>
      <c r="K13" t="n">
        <v>0</v>
      </c>
      <c r="L13" t="n">
        <v>1</v>
      </c>
      <c r="M13" t="n">
        <v>0</v>
      </c>
      <c r="N13" t="n">
        <v>0</v>
      </c>
      <c r="O13" t="n">
        <v>0</v>
      </c>
      <c r="P13" t="n">
        <v>0</v>
      </c>
      <c r="Q13" t="n">
        <v>1</v>
      </c>
      <c r="R13" t="n">
        <v>0</v>
      </c>
      <c r="S13" t="n">
        <v>2</v>
      </c>
      <c r="T13" t="n">
        <v>3</v>
      </c>
      <c r="U13" t="n">
        <v>3</v>
      </c>
      <c r="V13" s="2" t="inlineStr">
        <is>
          <t>Talltita
Kungsfågel</t>
        </is>
      </c>
      <c r="W13">
        <f>HYPERLINK("https://klasma.github.io/Logging_0191/artfynd/A 64345-2023 artfynd.xlsx", "A 64345-2023")</f>
        <v/>
      </c>
      <c r="X13">
        <f>HYPERLINK("https://klasma.github.io/Logging_0191/kartor/A 64345-2023 karta.png", "A 64345-2023")</f>
        <v/>
      </c>
      <c r="Y13">
        <f>HYPERLINK("https://klasma.github.io/Logging_0191/kartor_geotiff/A 64345-2023 georefererad karta.tif", "A 64345-2023")</f>
        <v/>
      </c>
      <c r="AA13">
        <f>HYPERLINK("https://klasma.github.io/Logging_0191/klagomål/A 64345-2023 FSC-klagomål.docx", "A 64345-2023")</f>
        <v/>
      </c>
      <c r="AB13">
        <f>HYPERLINK("https://klasma.github.io/Logging_0191/klagomålsmail/A 64345-2023 FSC-klagomål mail.docx", "A 64345-2023")</f>
        <v/>
      </c>
      <c r="AC13">
        <f>HYPERLINK("https://klasma.github.io/Logging_0191/tillsyn/A 64345-2023 tillsynsbegäran.docx", "A 64345-2023")</f>
        <v/>
      </c>
      <c r="AD13">
        <f>HYPERLINK("https://klasma.github.io/Logging_0191/tillsynsmail/A 64345-2023 tillsynsbegäran mail.docx", "A 64345-2023")</f>
        <v/>
      </c>
      <c r="AE13">
        <f>HYPERLINK("https://klasma.github.io/Logging_0191/fåglar/A 64345-2023 prioriterade fågelarter.docx", "A 64345-2023")</f>
        <v/>
      </c>
    </row>
    <row r="14" ht="15" customHeight="1">
      <c r="A14" t="inlineStr">
        <is>
          <t>A 41957-2025</t>
        </is>
      </c>
      <c r="B14" t="inlineStr">
        <is>
          <t>avverkningsanmälan</t>
        </is>
      </c>
      <c r="C14" t="inlineStr">
        <is>
          <t>Föryngringsavverkning</t>
        </is>
      </c>
      <c r="D14" s="1" t="n">
        <v>45903</v>
      </c>
      <c r="E14" s="1" t="n">
        <v>46281</v>
      </c>
      <c r="F14" t="inlineStr">
        <is>
          <t>STOCKHOLMS LÄN</t>
        </is>
      </c>
      <c r="G14" t="inlineStr">
        <is>
          <t>SIGTUNA</t>
        </is>
      </c>
      <c r="I14" t="n">
        <v>0.6</v>
      </c>
      <c r="J14" t="n">
        <v>2</v>
      </c>
      <c r="K14" t="n">
        <v>0</v>
      </c>
      <c r="L14" t="n">
        <v>0</v>
      </c>
      <c r="M14" t="n">
        <v>0</v>
      </c>
      <c r="N14" t="n">
        <v>0</v>
      </c>
      <c r="O14" t="n">
        <v>0</v>
      </c>
      <c r="P14" t="n">
        <v>0</v>
      </c>
      <c r="Q14" t="n">
        <v>0</v>
      </c>
      <c r="R14" t="n">
        <v>0</v>
      </c>
      <c r="S14" t="n">
        <v>2</v>
      </c>
      <c r="T14" t="n">
        <v>2</v>
      </c>
      <c r="U14" t="n">
        <v>0</v>
      </c>
      <c r="V14" s="2" t="inlineStr">
        <is>
          <t>Gröngöling
Kungsfågel</t>
        </is>
      </c>
      <c r="W14">
        <f>HYPERLINK("https://klasma.github.io/Logging_0191/artfynd/A 41957-2025 artfynd.xlsx", "A 41957-2025")</f>
        <v/>
      </c>
      <c r="X14">
        <f>HYPERLINK("https://klasma.github.io/Logging_0191/kartor/A 41957-2025 karta.png", "A 41957-2025")</f>
        <v/>
      </c>
      <c r="Y14">
        <f>HYPERLINK("https://klasma.github.io/Logging_0191/kartor_geotiff/A 41957-2025 georefererad karta.tif", "A 41957-2025")</f>
        <v/>
      </c>
      <c r="AA14">
        <f>HYPERLINK("https://klasma.github.io/Logging_0191/klagomål/A 41957-2025 FSC-klagomål.docx", "A 41957-2025")</f>
        <v/>
      </c>
      <c r="AB14">
        <f>HYPERLINK("https://klasma.github.io/Logging_0191/klagomålsmail/A 41957-2025 FSC-klagomål mail.docx", "A 41957-2025")</f>
        <v/>
      </c>
      <c r="AC14">
        <f>HYPERLINK("https://klasma.github.io/Logging_0191/tillsyn/A 41957-2025 tillsynsbegäran.docx", "A 41957-2025")</f>
        <v/>
      </c>
      <c r="AD14">
        <f>HYPERLINK("https://klasma.github.io/Logging_0191/tillsynsmail/A 41957-2025 tillsynsbegäran mail.docx", "A 41957-2025")</f>
        <v/>
      </c>
    </row>
    <row r="15" ht="15" customHeight="1">
      <c r="A15" t="inlineStr">
        <is>
          <t>A 40643-2024</t>
        </is>
      </c>
      <c r="B15" t="inlineStr">
        <is>
          <t>avverkningsanmälan</t>
        </is>
      </c>
      <c r="C15" t="inlineStr">
        <is>
          <t>Avverkning för annat ändamål</t>
        </is>
      </c>
      <c r="D15" s="1" t="n">
        <v>45558</v>
      </c>
      <c r="E15" s="1" t="n">
        <v>46281</v>
      </c>
      <c r="F15" t="inlineStr">
        <is>
          <t>STOCKHOLMS LÄN</t>
        </is>
      </c>
      <c r="G15" t="inlineStr">
        <is>
          <t>SIGTUNA</t>
        </is>
      </c>
      <c r="I15" t="n">
        <v>1.7</v>
      </c>
      <c r="J15" t="n">
        <v>0</v>
      </c>
      <c r="K15" t="n">
        <v>0</v>
      </c>
      <c r="L15" t="n">
        <v>0</v>
      </c>
      <c r="M15" t="n">
        <v>0</v>
      </c>
      <c r="N15" t="n">
        <v>0</v>
      </c>
      <c r="O15" t="n">
        <v>0</v>
      </c>
      <c r="P15" t="n">
        <v>0</v>
      </c>
      <c r="Q15" t="n">
        <v>0</v>
      </c>
      <c r="R15" t="n">
        <v>0</v>
      </c>
      <c r="S15" t="n">
        <v>2</v>
      </c>
      <c r="T15" t="n">
        <v>2</v>
      </c>
      <c r="U15" t="n">
        <v>2</v>
      </c>
      <c r="V15" s="2" t="inlineStr">
        <is>
          <t>Bergsslok
Getrams</t>
        </is>
      </c>
      <c r="W15">
        <f>HYPERLINK("https://klasma.github.io/Logging_0191/artfynd/A 40643-2024 artfynd.xlsx", "A 40643-2024")</f>
        <v/>
      </c>
      <c r="X15">
        <f>HYPERLINK("https://klasma.github.io/Logging_0191/kartor/A 40643-2024 karta.png", "A 40643-2024")</f>
        <v/>
      </c>
      <c r="Y15">
        <f>HYPERLINK("https://klasma.github.io/Logging_0191/kartor_geotiff/A 40643-2024 georefererad karta.tif", "A 40643-2024")</f>
        <v/>
      </c>
      <c r="AA15">
        <f>HYPERLINK("https://klasma.github.io/Logging_0191/klagomål/A 40643-2024 FSC-klagomål.docx", "A 40643-2024")</f>
        <v/>
      </c>
      <c r="AB15">
        <f>HYPERLINK("https://klasma.github.io/Logging_0191/klagomålsmail/A 40643-2024 FSC-klagomål mail.docx", "A 40643-2024")</f>
        <v/>
      </c>
      <c r="AC15">
        <f>HYPERLINK("https://klasma.github.io/Logging_0191/tillsyn/A 40643-2024 tillsynsbegäran.docx", "A 40643-2024")</f>
        <v/>
      </c>
      <c r="AD15">
        <f>HYPERLINK("https://klasma.github.io/Logging_0191/tillsynsmail/A 40643-2024 tillsynsbegäran mail.docx", "A 40643-2024")</f>
        <v/>
      </c>
    </row>
    <row r="16" ht="15" customHeight="1">
      <c r="A16" t="inlineStr">
        <is>
          <t>A 22874-2026</t>
        </is>
      </c>
      <c r="B16" t="inlineStr">
        <is>
          <t>avverkningsanmälan</t>
        </is>
      </c>
      <c r="C16" t="inlineStr">
        <is>
          <t>Föryngringsavverkning</t>
        </is>
      </c>
      <c r="D16" s="1" t="n">
        <v>46156</v>
      </c>
      <c r="E16" s="1" t="n">
        <v>46281</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46757-2023</t>
        </is>
      </c>
      <c r="B17" t="inlineStr">
        <is>
          <t>avverkningsanmälan</t>
        </is>
      </c>
      <c r="C17" t="inlineStr">
        <is>
          <t>Avverkning för annat ändamål</t>
        </is>
      </c>
      <c r="D17" s="1" t="n">
        <v>45198</v>
      </c>
      <c r="E17" s="1" t="n">
        <v>46281</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6893-2026</t>
        </is>
      </c>
      <c r="B18" t="inlineStr">
        <is>
          <t>avverkningsanmälan</t>
        </is>
      </c>
      <c r="C18" t="inlineStr">
        <is>
          <t>Föryngringsavverkning</t>
        </is>
      </c>
      <c r="D18" s="1" t="n">
        <v>46057</v>
      </c>
      <c r="E18" s="1" t="n">
        <v>46281</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33751-2024</t>
        </is>
      </c>
      <c r="B19" t="inlineStr">
        <is>
          <t>avverkningsanmälan</t>
        </is>
      </c>
      <c r="C19" t="inlineStr">
        <is>
          <t>Avverkning för annat ändamål</t>
        </is>
      </c>
      <c r="D19" s="1" t="n">
        <v>45520</v>
      </c>
      <c r="E19" s="1" t="n">
        <v>46281</v>
      </c>
      <c r="F19" t="inlineStr">
        <is>
          <t>STOCKHOLMS LÄN</t>
        </is>
      </c>
      <c r="G19" t="inlineStr">
        <is>
          <t>SIGTUNA</t>
        </is>
      </c>
      <c r="H19" t="inlineStr">
        <is>
          <t>Allmännings- och besparingsskogar</t>
        </is>
      </c>
      <c r="I19" t="n">
        <v>1.5</v>
      </c>
      <c r="J19" t="n">
        <v>1</v>
      </c>
      <c r="K19" t="n">
        <v>0</v>
      </c>
      <c r="L19" t="n">
        <v>0</v>
      </c>
      <c r="M19" t="n">
        <v>1</v>
      </c>
      <c r="N19" t="n">
        <v>0</v>
      </c>
      <c r="O19" t="n">
        <v>0</v>
      </c>
      <c r="P19" t="n">
        <v>0</v>
      </c>
      <c r="Q19" t="n">
        <v>1</v>
      </c>
      <c r="R19" t="n">
        <v>1</v>
      </c>
      <c r="S19" t="n">
        <v>1</v>
      </c>
      <c r="T19" t="n">
        <v>2</v>
      </c>
      <c r="U19" t="n">
        <v>0</v>
      </c>
      <c r="V19" s="2" t="inlineStr">
        <is>
          <t>Grönfink</t>
        </is>
      </c>
      <c r="W19">
        <f>HYPERLINK("https://klasma.github.io/Logging_0191/artfynd/A 33751-2024 artfynd.xlsx", "A 33751-2024")</f>
        <v/>
      </c>
      <c r="X19">
        <f>HYPERLINK("https://klasma.github.io/Logging_0191/kartor/A 33751-2024 karta.png", "A 33751-2024")</f>
        <v/>
      </c>
      <c r="Y19">
        <f>HYPERLINK("https://klasma.github.io/Logging_0191/kartor_geotiff/A 33751-2024 georefererad karta.tif", "A 33751-2024")</f>
        <v/>
      </c>
      <c r="AA19">
        <f>HYPERLINK("https://klasma.github.io/Logging_0191/klagomål/A 33751-2024 FSC-klagomål.docx", "A 33751-2024")</f>
        <v/>
      </c>
      <c r="AB19">
        <f>HYPERLINK("https://klasma.github.io/Logging_0191/klagomålsmail/A 33751-2024 FSC-klagomål mail.docx", "A 33751-2024")</f>
        <v/>
      </c>
      <c r="AC19">
        <f>HYPERLINK("https://klasma.github.io/Logging_0191/tillsyn/A 33751-2024 tillsynsbegäran.docx", "A 33751-2024")</f>
        <v/>
      </c>
      <c r="AD19">
        <f>HYPERLINK("https://klasma.github.io/Logging_0191/tillsynsmail/A 33751-2024 tillsynsbegäran mail.docx", "A 33751-2024")</f>
        <v/>
      </c>
      <c r="AE19">
        <f>HYPERLINK("https://klasma.github.io/Logging_0191/fåglar/A 33751-2024 prioriterade fågelarter.docx", "A 33751-2024")</f>
        <v/>
      </c>
    </row>
    <row r="20" ht="15" customHeight="1">
      <c r="A20" t="inlineStr">
        <is>
          <t>A 39716-2023</t>
        </is>
      </c>
      <c r="B20" t="inlineStr">
        <is>
          <t>avverkningsanmälan</t>
        </is>
      </c>
      <c r="C20" t="inlineStr">
        <is>
          <t>Föryngringsavverkning</t>
        </is>
      </c>
      <c r="D20" s="1" t="n">
        <v>45166</v>
      </c>
      <c r="E20" s="1" t="n">
        <v>46281</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15452-2023</t>
        </is>
      </c>
      <c r="B21" t="inlineStr">
        <is>
          <t>avverkningsanmälan</t>
        </is>
      </c>
      <c r="C21" t="inlineStr">
        <is>
          <t>Avverkning för annat ändamål</t>
        </is>
      </c>
      <c r="D21" s="1" t="n">
        <v>45020</v>
      </c>
      <c r="E21" s="1" t="n">
        <v>46281</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46281</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46281</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46281</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46281</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46281</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46281</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31695-2022</t>
        </is>
      </c>
      <c r="B28" t="inlineStr">
        <is>
          <t>avverkningsanmälan</t>
        </is>
      </c>
      <c r="C28" t="inlineStr">
        <is>
          <t>Avverkning för att bevara och utveckla /försöksver</t>
        </is>
      </c>
      <c r="D28" s="1" t="n">
        <v>44776</v>
      </c>
      <c r="E28" s="1" t="n">
        <v>46281</v>
      </c>
      <c r="F28" t="inlineStr">
        <is>
          <t>STOCKHOLMS LÄN</t>
        </is>
      </c>
      <c r="G28" t="inlineStr">
        <is>
          <t>SIGTUNA</t>
        </is>
      </c>
      <c r="H28" t="inlineStr">
        <is>
          <t>Kommuner</t>
        </is>
      </c>
      <c r="I28" t="n">
        <v>1.1</v>
      </c>
      <c r="J28" t="n">
        <v>0</v>
      </c>
      <c r="K28" t="n">
        <v>0</v>
      </c>
      <c r="L28" t="n">
        <v>0</v>
      </c>
      <c r="M28" t="n">
        <v>0</v>
      </c>
      <c r="N28" t="n">
        <v>0</v>
      </c>
      <c r="O28" t="n">
        <v>0</v>
      </c>
      <c r="P28" t="n">
        <v>0</v>
      </c>
      <c r="Q28" t="n">
        <v>0</v>
      </c>
      <c r="R28" t="n">
        <v>0</v>
      </c>
      <c r="S28" t="n">
        <v>0</v>
      </c>
      <c r="T28" t="n">
        <v>0</v>
      </c>
      <c r="U28" t="n">
        <v>0</v>
      </c>
      <c r="V28" s="2" t="inlineStr"/>
    </row>
    <row r="29" ht="15" customHeight="1">
      <c r="A29" t="inlineStr">
        <is>
          <t>A 58619-2023</t>
        </is>
      </c>
      <c r="B29" t="inlineStr">
        <is>
          <t>avverkningsanmälan</t>
        </is>
      </c>
      <c r="C29" t="inlineStr">
        <is>
          <t>Föryngringsavverkning</t>
        </is>
      </c>
      <c r="D29" s="1" t="n">
        <v>45251</v>
      </c>
      <c r="E29" s="1" t="n">
        <v>46281</v>
      </c>
      <c r="F29" t="inlineStr">
        <is>
          <t>STOCKHOLMS LÄN</t>
        </is>
      </c>
      <c r="G29" t="inlineStr">
        <is>
          <t>SIGTUNA</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49592-2023</t>
        </is>
      </c>
      <c r="B30" t="inlineStr">
        <is>
          <t>avverkningsanmälan</t>
        </is>
      </c>
      <c r="C30" t="inlineStr">
        <is>
          <t>Föryngringsavverkning</t>
        </is>
      </c>
      <c r="D30" s="1" t="n">
        <v>45211</v>
      </c>
      <c r="E30" s="1" t="n">
        <v>46281</v>
      </c>
      <c r="F30" t="inlineStr">
        <is>
          <t>STOCKHOLMS LÄN</t>
        </is>
      </c>
      <c r="G30" t="inlineStr">
        <is>
          <t>SIGTUNA</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5142-2024</t>
        </is>
      </c>
      <c r="B31" t="inlineStr">
        <is>
          <t>avverkningsanmälan</t>
        </is>
      </c>
      <c r="C31" t="inlineStr">
        <is>
          <t>Avverkning för annat ändamål</t>
        </is>
      </c>
      <c r="D31" s="1" t="n">
        <v>45330</v>
      </c>
      <c r="E31" s="1" t="n">
        <v>46281</v>
      </c>
      <c r="F31" t="inlineStr">
        <is>
          <t>STOCKHOLMS LÄN</t>
        </is>
      </c>
      <c r="G31" t="inlineStr">
        <is>
          <t>SIGTUNA</t>
        </is>
      </c>
      <c r="I31" t="n">
        <v>0.5</v>
      </c>
      <c r="J31" t="n">
        <v>0</v>
      </c>
      <c r="K31" t="n">
        <v>0</v>
      </c>
      <c r="L31" t="n">
        <v>0</v>
      </c>
      <c r="M31" t="n">
        <v>0</v>
      </c>
      <c r="N31" t="n">
        <v>0</v>
      </c>
      <c r="O31" t="n">
        <v>0</v>
      </c>
      <c r="P31" t="n">
        <v>0</v>
      </c>
      <c r="Q31" t="n">
        <v>0</v>
      </c>
      <c r="R31" t="n">
        <v>0</v>
      </c>
      <c r="S31" t="n">
        <v>0</v>
      </c>
      <c r="T31" t="n">
        <v>0</v>
      </c>
      <c r="U31" t="n">
        <v>0</v>
      </c>
      <c r="V31" s="2" t="inlineStr"/>
    </row>
    <row r="32" ht="15" customHeight="1">
      <c r="A32" t="inlineStr">
        <is>
          <t>A 55112-2021</t>
        </is>
      </c>
      <c r="B32" t="inlineStr">
        <is>
          <t>avverkningsanmälan</t>
        </is>
      </c>
      <c r="C32" t="inlineStr">
        <is>
          <t>Föryngringsavverkning</t>
        </is>
      </c>
      <c r="D32" s="1" t="n">
        <v>44474</v>
      </c>
      <c r="E32" s="1" t="n">
        <v>46281</v>
      </c>
      <c r="F32" t="inlineStr">
        <is>
          <t>STOCKHOLMS LÄN</t>
        </is>
      </c>
      <c r="G32" t="inlineStr">
        <is>
          <t>SIGTUNA</t>
        </is>
      </c>
      <c r="I32" t="n">
        <v>0.6</v>
      </c>
      <c r="J32" t="n">
        <v>0</v>
      </c>
      <c r="K32" t="n">
        <v>0</v>
      </c>
      <c r="L32" t="n">
        <v>0</v>
      </c>
      <c r="M32" t="n">
        <v>0</v>
      </c>
      <c r="N32" t="n">
        <v>0</v>
      </c>
      <c r="O32" t="n">
        <v>0</v>
      </c>
      <c r="P32" t="n">
        <v>0</v>
      </c>
      <c r="Q32" t="n">
        <v>0</v>
      </c>
      <c r="R32" t="n">
        <v>0</v>
      </c>
      <c r="S32" t="n">
        <v>0</v>
      </c>
      <c r="T32" t="n">
        <v>0</v>
      </c>
      <c r="U32" t="n">
        <v>0</v>
      </c>
      <c r="V32" s="2" t="inlineStr"/>
    </row>
    <row r="33" ht="15" customHeight="1">
      <c r="A33" t="inlineStr">
        <is>
          <t>A 59957-2023</t>
        </is>
      </c>
      <c r="B33" t="inlineStr">
        <is>
          <t>avverkningsanmälan</t>
        </is>
      </c>
      <c r="C33" t="inlineStr">
        <is>
          <t>Föryngringsavverkning</t>
        </is>
      </c>
      <c r="D33" s="1" t="n">
        <v>45257</v>
      </c>
      <c r="E33" s="1" t="n">
        <v>46281</v>
      </c>
      <c r="F33" t="inlineStr">
        <is>
          <t>STOCKHOLMS LÄN</t>
        </is>
      </c>
      <c r="G33" t="inlineStr">
        <is>
          <t>SIGTUNA</t>
        </is>
      </c>
      <c r="H33" t="inlineStr">
        <is>
          <t>Sveaskog</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2496-2024</t>
        </is>
      </c>
      <c r="B34" t="inlineStr">
        <is>
          <t>avverkningsanmälan</t>
        </is>
      </c>
      <c r="C34" t="inlineStr">
        <is>
          <t>Föryngringsavverkning</t>
        </is>
      </c>
      <c r="D34" s="1" t="n">
        <v>45313</v>
      </c>
      <c r="E34" s="1" t="n">
        <v>46281</v>
      </c>
      <c r="F34" t="inlineStr">
        <is>
          <t>STOCKHOLMS LÄN</t>
        </is>
      </c>
      <c r="G34" t="inlineStr">
        <is>
          <t>SIGTUNA</t>
        </is>
      </c>
      <c r="H34" t="inlineStr">
        <is>
          <t>Kommuner</t>
        </is>
      </c>
      <c r="I34" t="n">
        <v>3.3</v>
      </c>
      <c r="J34" t="n">
        <v>0</v>
      </c>
      <c r="K34" t="n">
        <v>0</v>
      </c>
      <c r="L34" t="n">
        <v>0</v>
      </c>
      <c r="M34" t="n">
        <v>0</v>
      </c>
      <c r="N34" t="n">
        <v>0</v>
      </c>
      <c r="O34" t="n">
        <v>0</v>
      </c>
      <c r="P34" t="n">
        <v>0</v>
      </c>
      <c r="Q34" t="n">
        <v>0</v>
      </c>
      <c r="R34" t="n">
        <v>0</v>
      </c>
      <c r="S34" t="n">
        <v>0</v>
      </c>
      <c r="T34" t="n">
        <v>0</v>
      </c>
      <c r="U34" t="n">
        <v>0</v>
      </c>
      <c r="V34" s="2" t="inlineStr"/>
    </row>
    <row r="35" ht="15" customHeight="1">
      <c r="A35" t="inlineStr">
        <is>
          <t>A 35966-2024</t>
        </is>
      </c>
      <c r="B35" t="inlineStr">
        <is>
          <t>avverkningsanmälan</t>
        </is>
      </c>
      <c r="C35" t="inlineStr">
        <is>
          <t>Föryngringsavverkning</t>
        </is>
      </c>
      <c r="D35" s="1" t="n">
        <v>45533</v>
      </c>
      <c r="E35" s="1" t="n">
        <v>46281</v>
      </c>
      <c r="F35" t="inlineStr">
        <is>
          <t>STOCKHOLMS LÄN</t>
        </is>
      </c>
      <c r="G35" t="inlineStr">
        <is>
          <t>SIGTUNA</t>
        </is>
      </c>
      <c r="I35" t="n">
        <v>0.4</v>
      </c>
      <c r="J35" t="n">
        <v>0</v>
      </c>
      <c r="K35" t="n">
        <v>0</v>
      </c>
      <c r="L35" t="n">
        <v>0</v>
      </c>
      <c r="M35" t="n">
        <v>0</v>
      </c>
      <c r="N35" t="n">
        <v>0</v>
      </c>
      <c r="O35" t="n">
        <v>0</v>
      </c>
      <c r="P35" t="n">
        <v>0</v>
      </c>
      <c r="Q35" t="n">
        <v>0</v>
      </c>
      <c r="R35" t="n">
        <v>0</v>
      </c>
      <c r="S35" t="n">
        <v>0</v>
      </c>
      <c r="T35" t="n">
        <v>0</v>
      </c>
      <c r="U35" t="n">
        <v>0</v>
      </c>
      <c r="V35" s="2" t="inlineStr"/>
    </row>
    <row r="36" ht="15" customHeight="1">
      <c r="A36" t="inlineStr">
        <is>
          <t>A 36179-2022</t>
        </is>
      </c>
      <c r="B36" t="inlineStr">
        <is>
          <t>avverkningsanmälan</t>
        </is>
      </c>
      <c r="C36" t="inlineStr">
        <is>
          <t>Föryngringsavverkning</t>
        </is>
      </c>
      <c r="D36" s="1" t="n">
        <v>44803</v>
      </c>
      <c r="E36" s="1" t="n">
        <v>46281</v>
      </c>
      <c r="F36" t="inlineStr">
        <is>
          <t>STOCKHOLMS LÄN</t>
        </is>
      </c>
      <c r="G36" t="inlineStr">
        <is>
          <t>SIGTUNA</t>
        </is>
      </c>
      <c r="I36" t="n">
        <v>6.1</v>
      </c>
      <c r="J36" t="n">
        <v>0</v>
      </c>
      <c r="K36" t="n">
        <v>0</v>
      </c>
      <c r="L36" t="n">
        <v>0</v>
      </c>
      <c r="M36" t="n">
        <v>0</v>
      </c>
      <c r="N36" t="n">
        <v>0</v>
      </c>
      <c r="O36" t="n">
        <v>0</v>
      </c>
      <c r="P36" t="n">
        <v>0</v>
      </c>
      <c r="Q36" t="n">
        <v>0</v>
      </c>
      <c r="R36" t="n">
        <v>0</v>
      </c>
      <c r="S36" t="n">
        <v>0</v>
      </c>
      <c r="T36" t="n">
        <v>0</v>
      </c>
      <c r="U36" t="n">
        <v>0</v>
      </c>
      <c r="V36" s="2" t="inlineStr"/>
    </row>
    <row r="37" ht="15" customHeight="1">
      <c r="A37" t="inlineStr">
        <is>
          <t>A 36181-2022</t>
        </is>
      </c>
      <c r="B37" t="inlineStr">
        <is>
          <t>avverkningsanmälan</t>
        </is>
      </c>
      <c r="C37" t="inlineStr">
        <is>
          <t>Föryngringsavverkning</t>
        </is>
      </c>
      <c r="D37" s="1" t="n">
        <v>44803</v>
      </c>
      <c r="E37" s="1" t="n">
        <v>46281</v>
      </c>
      <c r="F37" t="inlineStr">
        <is>
          <t>STOCKHOLMS LÄN</t>
        </is>
      </c>
      <c r="G37" t="inlineStr">
        <is>
          <t>SIGTUNA</t>
        </is>
      </c>
      <c r="I37" t="n">
        <v>1.7</v>
      </c>
      <c r="J37" t="n">
        <v>0</v>
      </c>
      <c r="K37" t="n">
        <v>0</v>
      </c>
      <c r="L37" t="n">
        <v>0</v>
      </c>
      <c r="M37" t="n">
        <v>0</v>
      </c>
      <c r="N37" t="n">
        <v>0</v>
      </c>
      <c r="O37" t="n">
        <v>0</v>
      </c>
      <c r="P37" t="n">
        <v>0</v>
      </c>
      <c r="Q37" t="n">
        <v>0</v>
      </c>
      <c r="R37" t="n">
        <v>0</v>
      </c>
      <c r="S37" t="n">
        <v>0</v>
      </c>
      <c r="T37" t="n">
        <v>0</v>
      </c>
      <c r="U37" t="n">
        <v>0</v>
      </c>
      <c r="V37" s="2" t="inlineStr"/>
    </row>
    <row r="38" ht="15" customHeight="1">
      <c r="A38" t="inlineStr">
        <is>
          <t>A 59168-2022</t>
        </is>
      </c>
      <c r="B38" t="inlineStr">
        <is>
          <t>avverkningsanmälan</t>
        </is>
      </c>
      <c r="C38" t="inlineStr">
        <is>
          <t>Föryngringsavverkning</t>
        </is>
      </c>
      <c r="D38" s="1" t="n">
        <v>44904</v>
      </c>
      <c r="E38" s="1" t="n">
        <v>46281</v>
      </c>
      <c r="F38" t="inlineStr">
        <is>
          <t>STOCKHOLMS LÄN</t>
        </is>
      </c>
      <c r="G38" t="inlineStr">
        <is>
          <t>SIGTUNA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12052-2026</t>
        </is>
      </c>
      <c r="B39" t="inlineStr">
        <is>
          <t>avverkningsanmälan</t>
        </is>
      </c>
      <c r="C39" t="inlineStr">
        <is>
          <t>Föryngringsavverkning</t>
        </is>
      </c>
      <c r="D39" s="1" t="n">
        <v>46086</v>
      </c>
      <c r="E39" s="1" t="n">
        <v>46281</v>
      </c>
      <c r="F39" t="inlineStr">
        <is>
          <t>STOCKHOLMS LÄN</t>
        </is>
      </c>
      <c r="G39" t="inlineStr">
        <is>
          <t>SIGTUNA</t>
        </is>
      </c>
      <c r="I39" t="n">
        <v>0.9</v>
      </c>
      <c r="J39" t="n">
        <v>0</v>
      </c>
      <c r="K39" t="n">
        <v>0</v>
      </c>
      <c r="L39" t="n">
        <v>0</v>
      </c>
      <c r="M39" t="n">
        <v>0</v>
      </c>
      <c r="N39" t="n">
        <v>0</v>
      </c>
      <c r="O39" t="n">
        <v>0</v>
      </c>
      <c r="P39" t="n">
        <v>0</v>
      </c>
      <c r="Q39" t="n">
        <v>0</v>
      </c>
      <c r="R39" t="n">
        <v>0</v>
      </c>
      <c r="S39" t="n">
        <v>0</v>
      </c>
      <c r="T39" t="n">
        <v>0</v>
      </c>
      <c r="U39" t="n">
        <v>0</v>
      </c>
      <c r="V39" s="2" t="inlineStr"/>
    </row>
    <row r="40" ht="15" customHeight="1">
      <c r="A40" t="inlineStr">
        <is>
          <t>A 41702-2023</t>
        </is>
      </c>
      <c r="B40" t="inlineStr">
        <is>
          <t>avverkningsanmälan</t>
        </is>
      </c>
      <c r="C40" t="inlineStr">
        <is>
          <t>Föryngringsavverkning</t>
        </is>
      </c>
      <c r="D40" s="1" t="n">
        <v>45176</v>
      </c>
      <c r="E40" s="1" t="n">
        <v>46281</v>
      </c>
      <c r="F40" t="inlineStr">
        <is>
          <t>STOCKHOLMS LÄN</t>
        </is>
      </c>
      <c r="G40" t="inlineStr">
        <is>
          <t>SIGTUNA</t>
        </is>
      </c>
      <c r="H40" t="inlineStr">
        <is>
          <t>Allmännings- och besparingsskogar</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13662-2026</t>
        </is>
      </c>
      <c r="B41" t="inlineStr">
        <is>
          <t>avverkningsanmälan</t>
        </is>
      </c>
      <c r="C41" t="inlineStr">
        <is>
          <t>Föryngringsavverkning</t>
        </is>
      </c>
      <c r="D41" s="1" t="n">
        <v>46097</v>
      </c>
      <c r="E41" s="1" t="n">
        <v>46281</v>
      </c>
      <c r="F41" t="inlineStr">
        <is>
          <t>STOCKHOLMS LÄN</t>
        </is>
      </c>
      <c r="G41" t="inlineStr">
        <is>
          <t>SIGTUNA</t>
        </is>
      </c>
      <c r="I41" t="n">
        <v>1</v>
      </c>
      <c r="J41" t="n">
        <v>0</v>
      </c>
      <c r="K41" t="n">
        <v>0</v>
      </c>
      <c r="L41" t="n">
        <v>0</v>
      </c>
      <c r="M41" t="n">
        <v>0</v>
      </c>
      <c r="N41" t="n">
        <v>0</v>
      </c>
      <c r="O41" t="n">
        <v>0</v>
      </c>
      <c r="P41" t="n">
        <v>0</v>
      </c>
      <c r="Q41" t="n">
        <v>0</v>
      </c>
      <c r="R41" t="n">
        <v>0</v>
      </c>
      <c r="S41" t="n">
        <v>0</v>
      </c>
      <c r="T41" t="n">
        <v>0</v>
      </c>
      <c r="U41" t="n">
        <v>0</v>
      </c>
      <c r="V41" s="2" t="inlineStr"/>
    </row>
    <row r="42" ht="15" customHeight="1">
      <c r="A42" t="inlineStr">
        <is>
          <t>A 6826-2025</t>
        </is>
      </c>
      <c r="B42" t="inlineStr">
        <is>
          <t>avverkningsanmälan</t>
        </is>
      </c>
      <c r="C42" t="inlineStr">
        <is>
          <t>Avverkning för annat ändamål</t>
        </is>
      </c>
      <c r="D42" s="1" t="n">
        <v>45700</v>
      </c>
      <c r="E42" s="1" t="n">
        <v>46281</v>
      </c>
      <c r="F42" t="inlineStr">
        <is>
          <t>STOCKHOLMS LÄN</t>
        </is>
      </c>
      <c r="G42" t="inlineStr">
        <is>
          <t>SIGTUNA</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38276-2023</t>
        </is>
      </c>
      <c r="B43" t="inlineStr">
        <is>
          <t>avverkningsanmälan</t>
        </is>
      </c>
      <c r="C43" t="inlineStr">
        <is>
          <t>Föryngringsavverkning</t>
        </is>
      </c>
      <c r="D43" s="1" t="n">
        <v>45160</v>
      </c>
      <c r="E43" s="1" t="n">
        <v>46281</v>
      </c>
      <c r="F43" t="inlineStr">
        <is>
          <t>STOCKHOLMS LÄN</t>
        </is>
      </c>
      <c r="G43" t="inlineStr">
        <is>
          <t>SIGTUNA</t>
        </is>
      </c>
      <c r="I43" t="n">
        <v>18.1</v>
      </c>
      <c r="J43" t="n">
        <v>0</v>
      </c>
      <c r="K43" t="n">
        <v>0</v>
      </c>
      <c r="L43" t="n">
        <v>0</v>
      </c>
      <c r="M43" t="n">
        <v>0</v>
      </c>
      <c r="N43" t="n">
        <v>0</v>
      </c>
      <c r="O43" t="n">
        <v>0</v>
      </c>
      <c r="P43" t="n">
        <v>0</v>
      </c>
      <c r="Q43" t="n">
        <v>0</v>
      </c>
      <c r="R43" t="n">
        <v>0</v>
      </c>
      <c r="S43" t="n">
        <v>0</v>
      </c>
      <c r="T43" t="n">
        <v>0</v>
      </c>
      <c r="U43" t="n">
        <v>0</v>
      </c>
      <c r="V43" s="2" t="inlineStr"/>
    </row>
    <row r="44" ht="15" customHeight="1">
      <c r="A44" t="inlineStr">
        <is>
          <t>A 45233-2024</t>
        </is>
      </c>
      <c r="B44" t="inlineStr">
        <is>
          <t>avverkningsanmälan</t>
        </is>
      </c>
      <c r="C44" t="inlineStr">
        <is>
          <t>Föryngringsavverkning</t>
        </is>
      </c>
      <c r="D44" s="1" t="n">
        <v>45575</v>
      </c>
      <c r="E44" s="1" t="n">
        <v>46281</v>
      </c>
      <c r="F44" t="inlineStr">
        <is>
          <t>STOCKHOLMS LÄN</t>
        </is>
      </c>
      <c r="G44" t="inlineStr">
        <is>
          <t>SIGTUNA</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20375-2023</t>
        </is>
      </c>
      <c r="B45" t="inlineStr">
        <is>
          <t>avverkningsanmälan</t>
        </is>
      </c>
      <c r="C45" t="inlineStr">
        <is>
          <t>Föryngringsavverkning</t>
        </is>
      </c>
      <c r="D45" s="1" t="n">
        <v>45054</v>
      </c>
      <c r="E45" s="1" t="n">
        <v>46281</v>
      </c>
      <c r="F45" t="inlineStr">
        <is>
          <t>STOCKHOLMS LÄN</t>
        </is>
      </c>
      <c r="G45" t="inlineStr">
        <is>
          <t>SIGTUNA</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51770-2023</t>
        </is>
      </c>
      <c r="B46" t="inlineStr">
        <is>
          <t>avverkningsanmälan</t>
        </is>
      </c>
      <c r="C46" t="inlineStr">
        <is>
          <t>Föryngringsavverkning</t>
        </is>
      </c>
      <c r="D46" s="1" t="n">
        <v>45222</v>
      </c>
      <c r="E46" s="1" t="n">
        <v>46281</v>
      </c>
      <c r="F46" t="inlineStr">
        <is>
          <t>STOCKHOLMS LÄN</t>
        </is>
      </c>
      <c r="G46" t="inlineStr">
        <is>
          <t>SIGTUNA</t>
        </is>
      </c>
      <c r="I46" t="n">
        <v>3.8</v>
      </c>
      <c r="J46" t="n">
        <v>0</v>
      </c>
      <c r="K46" t="n">
        <v>0</v>
      </c>
      <c r="L46" t="n">
        <v>0</v>
      </c>
      <c r="M46" t="n">
        <v>0</v>
      </c>
      <c r="N46" t="n">
        <v>0</v>
      </c>
      <c r="O46" t="n">
        <v>0</v>
      </c>
      <c r="P46" t="n">
        <v>0</v>
      </c>
      <c r="Q46" t="n">
        <v>0</v>
      </c>
      <c r="R46" t="n">
        <v>0</v>
      </c>
      <c r="S46" t="n">
        <v>0</v>
      </c>
      <c r="T46" t="n">
        <v>0</v>
      </c>
      <c r="U46" t="n">
        <v>0</v>
      </c>
      <c r="V46" s="2" t="inlineStr"/>
    </row>
    <row r="47" ht="15" customHeight="1">
      <c r="A47" t="inlineStr">
        <is>
          <t>A 59165-2022</t>
        </is>
      </c>
      <c r="B47" t="inlineStr">
        <is>
          <t>avverkningsanmälan</t>
        </is>
      </c>
      <c r="C47" t="inlineStr">
        <is>
          <t>Föryngringsavverkning</t>
        </is>
      </c>
      <c r="D47" s="1" t="n">
        <v>44904</v>
      </c>
      <c r="E47" s="1" t="n">
        <v>46281</v>
      </c>
      <c r="F47" t="inlineStr">
        <is>
          <t>STOCKHOLMS LÄN</t>
        </is>
      </c>
      <c r="G47" t="inlineStr">
        <is>
          <t>SIGTUNA</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47392-2025</t>
        </is>
      </c>
      <c r="B48" t="inlineStr">
        <is>
          <t>avverkningsanmälan</t>
        </is>
      </c>
      <c r="C48" t="inlineStr">
        <is>
          <t>Föryngringsavverkning</t>
        </is>
      </c>
      <c r="D48" s="1" t="n">
        <v>45930</v>
      </c>
      <c r="E48" s="1" t="n">
        <v>46281</v>
      </c>
      <c r="F48" t="inlineStr">
        <is>
          <t>STOCKHOLMS LÄN</t>
        </is>
      </c>
      <c r="G48" t="inlineStr">
        <is>
          <t>SIGTUNA</t>
        </is>
      </c>
      <c r="I48" t="n">
        <v>3.3</v>
      </c>
      <c r="J48" t="n">
        <v>0</v>
      </c>
      <c r="K48" t="n">
        <v>0</v>
      </c>
      <c r="L48" t="n">
        <v>0</v>
      </c>
      <c r="M48" t="n">
        <v>0</v>
      </c>
      <c r="N48" t="n">
        <v>0</v>
      </c>
      <c r="O48" t="n">
        <v>0</v>
      </c>
      <c r="P48" t="n">
        <v>0</v>
      </c>
      <c r="Q48" t="n">
        <v>0</v>
      </c>
      <c r="R48" t="n">
        <v>0</v>
      </c>
      <c r="S48" t="n">
        <v>0</v>
      </c>
      <c r="T48" t="n">
        <v>0</v>
      </c>
      <c r="U48" t="n">
        <v>0</v>
      </c>
      <c r="V48" s="2" t="inlineStr"/>
    </row>
    <row r="49" ht="15" customHeight="1">
      <c r="A49" t="inlineStr">
        <is>
          <t>A 20960-2023</t>
        </is>
      </c>
      <c r="B49" t="inlineStr">
        <is>
          <t>avverkningsanmälan</t>
        </is>
      </c>
      <c r="C49" t="inlineStr">
        <is>
          <t>Föryngringsavverkning</t>
        </is>
      </c>
      <c r="D49" s="1" t="n">
        <v>45061</v>
      </c>
      <c r="E49" s="1" t="n">
        <v>46281</v>
      </c>
      <c r="F49" t="inlineStr">
        <is>
          <t>STOCKHOLMS LÄN</t>
        </is>
      </c>
      <c r="G49" t="inlineStr">
        <is>
          <t>SIGTUNA</t>
        </is>
      </c>
      <c r="I49" t="n">
        <v>0.6</v>
      </c>
      <c r="J49" t="n">
        <v>0</v>
      </c>
      <c r="K49" t="n">
        <v>0</v>
      </c>
      <c r="L49" t="n">
        <v>0</v>
      </c>
      <c r="M49" t="n">
        <v>0</v>
      </c>
      <c r="N49" t="n">
        <v>0</v>
      </c>
      <c r="O49" t="n">
        <v>0</v>
      </c>
      <c r="P49" t="n">
        <v>0</v>
      </c>
      <c r="Q49" t="n">
        <v>0</v>
      </c>
      <c r="R49" t="n">
        <v>0</v>
      </c>
      <c r="S49" t="n">
        <v>0</v>
      </c>
      <c r="T49" t="n">
        <v>0</v>
      </c>
      <c r="U49" t="n">
        <v>0</v>
      </c>
      <c r="V49" s="2" t="inlineStr"/>
    </row>
    <row r="50" ht="15" customHeight="1">
      <c r="A50" t="inlineStr">
        <is>
          <t>A 28851-2022</t>
        </is>
      </c>
      <c r="B50" t="inlineStr">
        <is>
          <t>avverkningsanmälan</t>
        </is>
      </c>
      <c r="C50" t="inlineStr">
        <is>
          <t>Föryngringsavverkning</t>
        </is>
      </c>
      <c r="D50" s="1" t="n">
        <v>44749</v>
      </c>
      <c r="E50" s="1" t="n">
        <v>46281</v>
      </c>
      <c r="F50" t="inlineStr">
        <is>
          <t>STOCKHOLMS LÄN</t>
        </is>
      </c>
      <c r="G50" t="inlineStr">
        <is>
          <t>SIGTUNA</t>
        </is>
      </c>
      <c r="I50" t="n">
        <v>1.2</v>
      </c>
      <c r="J50" t="n">
        <v>0</v>
      </c>
      <c r="K50" t="n">
        <v>0</v>
      </c>
      <c r="L50" t="n">
        <v>0</v>
      </c>
      <c r="M50" t="n">
        <v>0</v>
      </c>
      <c r="N50" t="n">
        <v>0</v>
      </c>
      <c r="O50" t="n">
        <v>0</v>
      </c>
      <c r="P50" t="n">
        <v>0</v>
      </c>
      <c r="Q50" t="n">
        <v>0</v>
      </c>
      <c r="R50" t="n">
        <v>0</v>
      </c>
      <c r="S50" t="n">
        <v>0</v>
      </c>
      <c r="T50" t="n">
        <v>0</v>
      </c>
      <c r="U50" t="n">
        <v>0</v>
      </c>
      <c r="V50" s="2" t="inlineStr"/>
    </row>
    <row r="51" ht="15" customHeight="1">
      <c r="A51" t="inlineStr">
        <is>
          <t>A 49916-2025</t>
        </is>
      </c>
      <c r="B51" t="inlineStr">
        <is>
          <t>avverkningsanmälan</t>
        </is>
      </c>
      <c r="C51" t="inlineStr">
        <is>
          <t>Föryngringsavverkning</t>
        </is>
      </c>
      <c r="D51" s="1" t="n">
        <v>45940</v>
      </c>
      <c r="E51" s="1" t="n">
        <v>46281</v>
      </c>
      <c r="F51" t="inlineStr">
        <is>
          <t>STOCKHOLMS LÄN</t>
        </is>
      </c>
      <c r="G51" t="inlineStr">
        <is>
          <t>SIGTUNA</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42572-2024</t>
        </is>
      </c>
      <c r="B52" t="inlineStr">
        <is>
          <t>avverkningsanmälan</t>
        </is>
      </c>
      <c r="C52" t="inlineStr">
        <is>
          <t>Föryngringsavverkning</t>
        </is>
      </c>
      <c r="D52" s="1" t="n">
        <v>45565</v>
      </c>
      <c r="E52" s="1" t="n">
        <v>46281</v>
      </c>
      <c r="F52" t="inlineStr">
        <is>
          <t>STOCKHOLMS LÄN</t>
        </is>
      </c>
      <c r="G52" t="inlineStr">
        <is>
          <t>SIGTUNA</t>
        </is>
      </c>
      <c r="I52" t="n">
        <v>2.3</v>
      </c>
      <c r="J52" t="n">
        <v>0</v>
      </c>
      <c r="K52" t="n">
        <v>0</v>
      </c>
      <c r="L52" t="n">
        <v>0</v>
      </c>
      <c r="M52" t="n">
        <v>0</v>
      </c>
      <c r="N52" t="n">
        <v>0</v>
      </c>
      <c r="O52" t="n">
        <v>0</v>
      </c>
      <c r="P52" t="n">
        <v>0</v>
      </c>
      <c r="Q52" t="n">
        <v>0</v>
      </c>
      <c r="R52" t="n">
        <v>0</v>
      </c>
      <c r="S52" t="n">
        <v>0</v>
      </c>
      <c r="T52" t="n">
        <v>0</v>
      </c>
      <c r="U52" t="n">
        <v>0</v>
      </c>
      <c r="V52" s="2" t="inlineStr"/>
    </row>
    <row r="53" ht="15" customHeight="1">
      <c r="A53" t="inlineStr">
        <is>
          <t>A 56796-2022</t>
        </is>
      </c>
      <c r="B53" t="inlineStr">
        <is>
          <t>avverkningsanmälan</t>
        </is>
      </c>
      <c r="C53" t="inlineStr">
        <is>
          <t>Föryngringsavverkning</t>
        </is>
      </c>
      <c r="D53" s="1" t="n">
        <v>44894</v>
      </c>
      <c r="E53" s="1" t="n">
        <v>46281</v>
      </c>
      <c r="F53" t="inlineStr">
        <is>
          <t>STOCKHOLMS LÄN</t>
        </is>
      </c>
      <c r="G53" t="inlineStr">
        <is>
          <t>SIGTUNA</t>
        </is>
      </c>
      <c r="I53" t="n">
        <v>5.2</v>
      </c>
      <c r="J53" t="n">
        <v>0</v>
      </c>
      <c r="K53" t="n">
        <v>0</v>
      </c>
      <c r="L53" t="n">
        <v>0</v>
      </c>
      <c r="M53" t="n">
        <v>0</v>
      </c>
      <c r="N53" t="n">
        <v>0</v>
      </c>
      <c r="O53" t="n">
        <v>0</v>
      </c>
      <c r="P53" t="n">
        <v>0</v>
      </c>
      <c r="Q53" t="n">
        <v>0</v>
      </c>
      <c r="R53" t="n">
        <v>0</v>
      </c>
      <c r="S53" t="n">
        <v>0</v>
      </c>
      <c r="T53" t="n">
        <v>0</v>
      </c>
      <c r="U53" t="n">
        <v>0</v>
      </c>
      <c r="V53" s="2" t="inlineStr"/>
    </row>
    <row r="54" ht="15" customHeight="1">
      <c r="A54" t="inlineStr">
        <is>
          <t>A 11285-2023</t>
        </is>
      </c>
      <c r="B54" t="inlineStr">
        <is>
          <t>avverkningsanmälan</t>
        </is>
      </c>
      <c r="C54" t="inlineStr">
        <is>
          <t>Föryngringsavverkning</t>
        </is>
      </c>
      <c r="D54" s="1" t="n">
        <v>44992</v>
      </c>
      <c r="E54" s="1" t="n">
        <v>46281</v>
      </c>
      <c r="F54" t="inlineStr">
        <is>
          <t>STOCKHOLMS LÄN</t>
        </is>
      </c>
      <c r="G54" t="inlineStr">
        <is>
          <t>SIGTUNA</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9856-2024</t>
        </is>
      </c>
      <c r="B55" t="inlineStr">
        <is>
          <t>avverkningsanmälan</t>
        </is>
      </c>
      <c r="C55" t="inlineStr">
        <is>
          <t>Avverkning för annat ändamål</t>
        </is>
      </c>
      <c r="D55" s="1" t="n">
        <v>45363</v>
      </c>
      <c r="E55" s="1" t="n">
        <v>46281</v>
      </c>
      <c r="F55" t="inlineStr">
        <is>
          <t>STOCKHOLMS LÄN</t>
        </is>
      </c>
      <c r="G55" t="inlineStr">
        <is>
          <t>SIGTUNA</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60922-2023</t>
        </is>
      </c>
      <c r="B56" t="inlineStr">
        <is>
          <t>avverkningsanmälan</t>
        </is>
      </c>
      <c r="C56" t="inlineStr">
        <is>
          <t>Föryngringsavverkning</t>
        </is>
      </c>
      <c r="D56" s="1" t="n">
        <v>45261</v>
      </c>
      <c r="E56" s="1" t="n">
        <v>46281</v>
      </c>
      <c r="F56" t="inlineStr">
        <is>
          <t>STOCKHOLMS LÄN</t>
        </is>
      </c>
      <c r="G56" t="inlineStr">
        <is>
          <t>SIGTUNA</t>
        </is>
      </c>
      <c r="I56" t="n">
        <v>7.6</v>
      </c>
      <c r="J56" t="n">
        <v>0</v>
      </c>
      <c r="K56" t="n">
        <v>0</v>
      </c>
      <c r="L56" t="n">
        <v>0</v>
      </c>
      <c r="M56" t="n">
        <v>0</v>
      </c>
      <c r="N56" t="n">
        <v>0</v>
      </c>
      <c r="O56" t="n">
        <v>0</v>
      </c>
      <c r="P56" t="n">
        <v>0</v>
      </c>
      <c r="Q56" t="n">
        <v>0</v>
      </c>
      <c r="R56" t="n">
        <v>0</v>
      </c>
      <c r="S56" t="n">
        <v>0</v>
      </c>
      <c r="T56" t="n">
        <v>0</v>
      </c>
      <c r="U56" t="n">
        <v>0</v>
      </c>
      <c r="V56" s="2" t="inlineStr"/>
    </row>
    <row r="57" ht="15" customHeight="1">
      <c r="A57" t="inlineStr">
        <is>
          <t>A 10790-2023</t>
        </is>
      </c>
      <c r="B57" t="inlineStr">
        <is>
          <t>avverkningsanmälan</t>
        </is>
      </c>
      <c r="C57" t="inlineStr">
        <is>
          <t>Föryngringsavverkning</t>
        </is>
      </c>
      <c r="D57" s="1" t="n">
        <v>44989</v>
      </c>
      <c r="E57" s="1" t="n">
        <v>46281</v>
      </c>
      <c r="F57" t="inlineStr">
        <is>
          <t>STOCKHOLMS LÄN</t>
        </is>
      </c>
      <c r="G57" t="inlineStr">
        <is>
          <t>SIGTUNA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25452-2023</t>
        </is>
      </c>
      <c r="B58" t="inlineStr">
        <is>
          <t>avverkningsanmälan</t>
        </is>
      </c>
      <c r="C58" t="inlineStr">
        <is>
          <t>Föryngringsavverkning</t>
        </is>
      </c>
      <c r="D58" s="1" t="n">
        <v>45089</v>
      </c>
      <c r="E58" s="1" t="n">
        <v>46281</v>
      </c>
      <c r="F58" t="inlineStr">
        <is>
          <t>STOCKHOLMS LÄN</t>
        </is>
      </c>
      <c r="G58" t="inlineStr">
        <is>
          <t>SIGTUNA</t>
        </is>
      </c>
      <c r="H58" t="inlineStr">
        <is>
          <t>Sveaskog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25459-2023</t>
        </is>
      </c>
      <c r="B59" t="inlineStr">
        <is>
          <t>avverkningsanmälan</t>
        </is>
      </c>
      <c r="C59" t="inlineStr">
        <is>
          <t>Föryngringsavverkning</t>
        </is>
      </c>
      <c r="D59" s="1" t="n">
        <v>45089</v>
      </c>
      <c r="E59" s="1" t="n">
        <v>46281</v>
      </c>
      <c r="F59" t="inlineStr">
        <is>
          <t>STOCKHOLMS LÄN</t>
        </is>
      </c>
      <c r="G59" t="inlineStr">
        <is>
          <t>SIGTUNA</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61937-2021</t>
        </is>
      </c>
      <c r="B60" t="inlineStr">
        <is>
          <t>avverkningsanmälan</t>
        </is>
      </c>
      <c r="C60" t="inlineStr">
        <is>
          <t>Avverkning för annat ändamål</t>
        </is>
      </c>
      <c r="D60" s="1" t="n">
        <v>44502</v>
      </c>
      <c r="E60" s="1" t="n">
        <v>46281</v>
      </c>
      <c r="F60" t="inlineStr">
        <is>
          <t>STOCKHOLMS LÄN</t>
        </is>
      </c>
      <c r="G60" t="inlineStr">
        <is>
          <t>SIGTUNA</t>
        </is>
      </c>
      <c r="I60" t="n">
        <v>14.7</v>
      </c>
      <c r="J60" t="n">
        <v>0</v>
      </c>
      <c r="K60" t="n">
        <v>0</v>
      </c>
      <c r="L60" t="n">
        <v>0</v>
      </c>
      <c r="M60" t="n">
        <v>0</v>
      </c>
      <c r="N60" t="n">
        <v>0</v>
      </c>
      <c r="O60" t="n">
        <v>0</v>
      </c>
      <c r="P60" t="n">
        <v>0</v>
      </c>
      <c r="Q60" t="n">
        <v>0</v>
      </c>
      <c r="R60" t="n">
        <v>0</v>
      </c>
      <c r="S60" t="n">
        <v>0</v>
      </c>
      <c r="T60" t="n">
        <v>0</v>
      </c>
      <c r="U60" t="n">
        <v>0</v>
      </c>
      <c r="V60" s="2" t="inlineStr"/>
    </row>
    <row r="61" ht="15" customHeight="1">
      <c r="A61" t="inlineStr">
        <is>
          <t>A 60969-2025</t>
        </is>
      </c>
      <c r="B61" t="inlineStr">
        <is>
          <t>avverkningsanmälan</t>
        </is>
      </c>
      <c r="C61" t="inlineStr">
        <is>
          <t>Föryngringsavverkning</t>
        </is>
      </c>
      <c r="D61" s="1" t="n">
        <v>45996</v>
      </c>
      <c r="E61" s="1" t="n">
        <v>46281</v>
      </c>
      <c r="F61" t="inlineStr">
        <is>
          <t>STOCKHOLMS LÄN</t>
        </is>
      </c>
      <c r="G61" t="inlineStr">
        <is>
          <t>SIGTUNA</t>
        </is>
      </c>
      <c r="I61" t="n">
        <v>8.800000000000001</v>
      </c>
      <c r="J61" t="n">
        <v>0</v>
      </c>
      <c r="K61" t="n">
        <v>0</v>
      </c>
      <c r="L61" t="n">
        <v>0</v>
      </c>
      <c r="M61" t="n">
        <v>0</v>
      </c>
      <c r="N61" t="n">
        <v>0</v>
      </c>
      <c r="O61" t="n">
        <v>0</v>
      </c>
      <c r="P61" t="n">
        <v>0</v>
      </c>
      <c r="Q61" t="n">
        <v>0</v>
      </c>
      <c r="R61" t="n">
        <v>0</v>
      </c>
      <c r="S61" t="n">
        <v>0</v>
      </c>
      <c r="T61" t="n">
        <v>0</v>
      </c>
      <c r="U61" t="n">
        <v>0</v>
      </c>
      <c r="V61" s="2" t="inlineStr"/>
    </row>
    <row r="62" ht="15" customHeight="1">
      <c r="A62" t="inlineStr">
        <is>
          <t>A 60949-2025</t>
        </is>
      </c>
      <c r="B62" t="inlineStr">
        <is>
          <t>avverkningsanmälan</t>
        </is>
      </c>
      <c r="C62" t="inlineStr">
        <is>
          <t>Föryngringsavverkning</t>
        </is>
      </c>
      <c r="D62" s="1" t="n">
        <v>45996</v>
      </c>
      <c r="E62" s="1" t="n">
        <v>46281</v>
      </c>
      <c r="F62" t="inlineStr">
        <is>
          <t>STOCKHOLMS LÄN</t>
        </is>
      </c>
      <c r="G62" t="inlineStr">
        <is>
          <t>SIGTUNA</t>
        </is>
      </c>
      <c r="I62" t="n">
        <v>21.9</v>
      </c>
      <c r="J62" t="n">
        <v>0</v>
      </c>
      <c r="K62" t="n">
        <v>0</v>
      </c>
      <c r="L62" t="n">
        <v>0</v>
      </c>
      <c r="M62" t="n">
        <v>0</v>
      </c>
      <c r="N62" t="n">
        <v>0</v>
      </c>
      <c r="O62" t="n">
        <v>0</v>
      </c>
      <c r="P62" t="n">
        <v>0</v>
      </c>
      <c r="Q62" t="n">
        <v>0</v>
      </c>
      <c r="R62" t="n">
        <v>0</v>
      </c>
      <c r="S62" t="n">
        <v>0</v>
      </c>
      <c r="T62" t="n">
        <v>0</v>
      </c>
      <c r="U62" t="n">
        <v>0</v>
      </c>
      <c r="V62" s="2" t="inlineStr"/>
    </row>
    <row r="63" ht="15" customHeight="1">
      <c r="A63" t="inlineStr">
        <is>
          <t>A 22913-2026</t>
        </is>
      </c>
      <c r="B63" t="inlineStr">
        <is>
          <t>avverkningsanmälan</t>
        </is>
      </c>
      <c r="C63" t="inlineStr">
        <is>
          <t>Föryngringsavverkning</t>
        </is>
      </c>
      <c r="D63" s="1" t="n">
        <v>46159</v>
      </c>
      <c r="E63" s="1" t="n">
        <v>46281</v>
      </c>
      <c r="F63" t="inlineStr">
        <is>
          <t>STOCKHOLMS LÄN</t>
        </is>
      </c>
      <c r="G63" t="inlineStr">
        <is>
          <t>SIGTUNA</t>
        </is>
      </c>
      <c r="H63" t="inlineStr">
        <is>
          <t>Sveaskog</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60935-2023</t>
        </is>
      </c>
      <c r="B64" t="inlineStr">
        <is>
          <t>avverkningsanmälan</t>
        </is>
      </c>
      <c r="C64" t="inlineStr">
        <is>
          <t>Föryngringsavverkning</t>
        </is>
      </c>
      <c r="D64" s="1" t="n">
        <v>45261</v>
      </c>
      <c r="E64" s="1" t="n">
        <v>46281</v>
      </c>
      <c r="F64" t="inlineStr">
        <is>
          <t>STOCKHOLMS LÄN</t>
        </is>
      </c>
      <c r="G64" t="inlineStr">
        <is>
          <t>SIGTUNA</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32424-2023</t>
        </is>
      </c>
      <c r="B65" t="inlineStr">
        <is>
          <t>avverkningsanmälan</t>
        </is>
      </c>
      <c r="C65" t="inlineStr">
        <is>
          <t>Föryngringsavverkning</t>
        </is>
      </c>
      <c r="D65" s="1" t="n">
        <v>45110</v>
      </c>
      <c r="E65" s="1" t="n">
        <v>46281</v>
      </c>
      <c r="F65" t="inlineStr">
        <is>
          <t>STOCKHOLMS LÄN</t>
        </is>
      </c>
      <c r="G65" t="inlineStr">
        <is>
          <t>SIGTUNA</t>
        </is>
      </c>
      <c r="I65" t="n">
        <v>2.5</v>
      </c>
      <c r="J65" t="n">
        <v>0</v>
      </c>
      <c r="K65" t="n">
        <v>0</v>
      </c>
      <c r="L65" t="n">
        <v>0</v>
      </c>
      <c r="M65" t="n">
        <v>0</v>
      </c>
      <c r="N65" t="n">
        <v>0</v>
      </c>
      <c r="O65" t="n">
        <v>0</v>
      </c>
      <c r="P65" t="n">
        <v>0</v>
      </c>
      <c r="Q65" t="n">
        <v>0</v>
      </c>
      <c r="R65" t="n">
        <v>0</v>
      </c>
      <c r="S65" t="n">
        <v>0</v>
      </c>
      <c r="T65" t="n">
        <v>0</v>
      </c>
      <c r="U65" t="n">
        <v>0</v>
      </c>
      <c r="V65" s="2" t="inlineStr"/>
    </row>
    <row r="66" ht="15" customHeight="1">
      <c r="A66" t="inlineStr">
        <is>
          <t>A 3673-2026</t>
        </is>
      </c>
      <c r="B66" t="inlineStr">
        <is>
          <t>avverkningsanmälan</t>
        </is>
      </c>
      <c r="C66" t="inlineStr">
        <is>
          <t>Föryngringsavverkning</t>
        </is>
      </c>
      <c r="D66" s="1" t="n">
        <v>46043</v>
      </c>
      <c r="E66" s="1" t="n">
        <v>46281</v>
      </c>
      <c r="F66" t="inlineStr">
        <is>
          <t>STOCKHOLMS LÄN</t>
        </is>
      </c>
      <c r="G66" t="inlineStr">
        <is>
          <t>SIGTUNA</t>
        </is>
      </c>
      <c r="I66" t="n">
        <v>3.8</v>
      </c>
      <c r="J66" t="n">
        <v>0</v>
      </c>
      <c r="K66" t="n">
        <v>0</v>
      </c>
      <c r="L66" t="n">
        <v>0</v>
      </c>
      <c r="M66" t="n">
        <v>0</v>
      </c>
      <c r="N66" t="n">
        <v>0</v>
      </c>
      <c r="O66" t="n">
        <v>0</v>
      </c>
      <c r="P66" t="n">
        <v>0</v>
      </c>
      <c r="Q66" t="n">
        <v>0</v>
      </c>
      <c r="R66" t="n">
        <v>0</v>
      </c>
      <c r="S66" t="n">
        <v>0</v>
      </c>
      <c r="T66" t="n">
        <v>0</v>
      </c>
      <c r="U66" t="n">
        <v>0</v>
      </c>
      <c r="V66" s="2" t="inlineStr"/>
    </row>
    <row r="67" ht="15" customHeight="1">
      <c r="A67" t="inlineStr">
        <is>
          <t>A 4788-2026</t>
        </is>
      </c>
      <c r="B67" t="inlineStr">
        <is>
          <t>avverkningsanmälan</t>
        </is>
      </c>
      <c r="C67" t="inlineStr">
        <is>
          <t>Föryngringsavverkning</t>
        </is>
      </c>
      <c r="D67" s="1" t="n">
        <v>46048</v>
      </c>
      <c r="E67" s="1" t="n">
        <v>46281</v>
      </c>
      <c r="F67" t="inlineStr">
        <is>
          <t>STOCKHOLMS LÄN</t>
        </is>
      </c>
      <c r="G67" t="inlineStr">
        <is>
          <t>SIGTUNA</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12931-2022</t>
        </is>
      </c>
      <c r="B68" t="inlineStr">
        <is>
          <t>avverkningsanmälan</t>
        </is>
      </c>
      <c r="C68" t="inlineStr">
        <is>
          <t>Föryngringsavverkning</t>
        </is>
      </c>
      <c r="D68" s="1" t="n">
        <v>44642</v>
      </c>
      <c r="E68" s="1" t="n">
        <v>46281</v>
      </c>
      <c r="F68" t="inlineStr">
        <is>
          <t>STOCKHOLMS LÄN</t>
        </is>
      </c>
      <c r="G68" t="inlineStr">
        <is>
          <t>SIGTUNA</t>
        </is>
      </c>
      <c r="H68" t="inlineStr">
        <is>
          <t>Kyrkan</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32426-2023</t>
        </is>
      </c>
      <c r="B69" t="inlineStr">
        <is>
          <t>avverkningsanmälan</t>
        </is>
      </c>
      <c r="C69" t="inlineStr">
        <is>
          <t>Föryngringsavverkning</t>
        </is>
      </c>
      <c r="D69" s="1" t="n">
        <v>45110</v>
      </c>
      <c r="E69" s="1" t="n">
        <v>46281</v>
      </c>
      <c r="F69" t="inlineStr">
        <is>
          <t>STOCKHOLMS LÄN</t>
        </is>
      </c>
      <c r="G69" t="inlineStr">
        <is>
          <t>SIGTUNA</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20957-2023</t>
        </is>
      </c>
      <c r="B70" t="inlineStr">
        <is>
          <t>avverkningsanmälan</t>
        </is>
      </c>
      <c r="C70" t="inlineStr">
        <is>
          <t>Föryngringsavverkning</t>
        </is>
      </c>
      <c r="D70" s="1" t="n">
        <v>45061</v>
      </c>
      <c r="E70" s="1" t="n">
        <v>46281</v>
      </c>
      <c r="F70" t="inlineStr">
        <is>
          <t>STOCKHOLMS LÄN</t>
        </is>
      </c>
      <c r="G70" t="inlineStr">
        <is>
          <t>SIGTUNA</t>
        </is>
      </c>
      <c r="I70" t="n">
        <v>0.3</v>
      </c>
      <c r="J70" t="n">
        <v>0</v>
      </c>
      <c r="K70" t="n">
        <v>0</v>
      </c>
      <c r="L70" t="n">
        <v>0</v>
      </c>
      <c r="M70" t="n">
        <v>0</v>
      </c>
      <c r="N70" t="n">
        <v>0</v>
      </c>
      <c r="O70" t="n">
        <v>0</v>
      </c>
      <c r="P70" t="n">
        <v>0</v>
      </c>
      <c r="Q70" t="n">
        <v>0</v>
      </c>
      <c r="R70" t="n">
        <v>0</v>
      </c>
      <c r="S70" t="n">
        <v>0</v>
      </c>
      <c r="T70" t="n">
        <v>0</v>
      </c>
      <c r="U70" t="n">
        <v>0</v>
      </c>
      <c r="V70" s="2" t="inlineStr"/>
    </row>
    <row r="71" ht="15" customHeight="1">
      <c r="A71" t="inlineStr">
        <is>
          <t>A 43700-2023</t>
        </is>
      </c>
      <c r="B71" t="inlineStr">
        <is>
          <t>avverkningsanmälan</t>
        </is>
      </c>
      <c r="C71" t="inlineStr">
        <is>
          <t>Föryngringsavverkning</t>
        </is>
      </c>
      <c r="D71" s="1" t="n">
        <v>45187</v>
      </c>
      <c r="E71" s="1" t="n">
        <v>46281</v>
      </c>
      <c r="F71" t="inlineStr">
        <is>
          <t>STOCKHOLMS LÄN</t>
        </is>
      </c>
      <c r="G71" t="inlineStr">
        <is>
          <t>SIGTUNA</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72530-2021</t>
        </is>
      </c>
      <c r="B72" t="inlineStr">
        <is>
          <t>avverkningsanmälan</t>
        </is>
      </c>
      <c r="C72" t="inlineStr">
        <is>
          <t>Avverkning för annat ändamål</t>
        </is>
      </c>
      <c r="D72" s="1" t="n">
        <v>44546</v>
      </c>
      <c r="E72" s="1" t="n">
        <v>46281</v>
      </c>
      <c r="F72" t="inlineStr">
        <is>
          <t>STOCKHOLMS LÄN</t>
        </is>
      </c>
      <c r="G72" t="inlineStr">
        <is>
          <t>SIGTUNA</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74170-2021</t>
        </is>
      </c>
      <c r="B73" t="inlineStr">
        <is>
          <t>avverkningsanmälan</t>
        </is>
      </c>
      <c r="C73" t="inlineStr">
        <is>
          <t>Föryngringsavverkning</t>
        </is>
      </c>
      <c r="D73" s="1" t="n">
        <v>44557</v>
      </c>
      <c r="E73" s="1" t="n">
        <v>46281</v>
      </c>
      <c r="F73" t="inlineStr">
        <is>
          <t>STOCKHOLMS LÄN</t>
        </is>
      </c>
      <c r="G73" t="inlineStr">
        <is>
          <t>SIGTUNA</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41693-2022</t>
        </is>
      </c>
      <c r="B74" t="inlineStr">
        <is>
          <t>avverkningsanmälan</t>
        </is>
      </c>
      <c r="C74" t="inlineStr">
        <is>
          <t>Föryngringsavverkning</t>
        </is>
      </c>
      <c r="D74" s="1" t="n">
        <v>44827</v>
      </c>
      <c r="E74" s="1" t="n">
        <v>46281</v>
      </c>
      <c r="F74" t="inlineStr">
        <is>
          <t>STOCKHOLMS LÄN</t>
        </is>
      </c>
      <c r="G74" t="inlineStr">
        <is>
          <t>SIGTUNA</t>
        </is>
      </c>
      <c r="H74" t="inlineStr">
        <is>
          <t>Allmännings- och besparingsskogar</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17320-2023</t>
        </is>
      </c>
      <c r="B75" t="inlineStr">
        <is>
          <t>avverkningsanmälan</t>
        </is>
      </c>
      <c r="C75" t="inlineStr">
        <is>
          <t>Föryngringsavverkning</t>
        </is>
      </c>
      <c r="D75" s="1" t="n">
        <v>45035</v>
      </c>
      <c r="E75" s="1" t="n">
        <v>46281</v>
      </c>
      <c r="F75" t="inlineStr">
        <is>
          <t>STOCKHOLMS LÄN</t>
        </is>
      </c>
      <c r="G75" t="inlineStr">
        <is>
          <t>SIGTUNA</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7214-2022</t>
        </is>
      </c>
      <c r="B76" t="inlineStr">
        <is>
          <t>avverkningsanmälan</t>
        </is>
      </c>
      <c r="C76" t="inlineStr">
        <is>
          <t>Föryngringsavverkning</t>
        </is>
      </c>
      <c r="D76" s="1" t="n">
        <v>44606</v>
      </c>
      <c r="E76" s="1" t="n">
        <v>46281</v>
      </c>
      <c r="F76" t="inlineStr">
        <is>
          <t>STOCKHOLMS LÄN</t>
        </is>
      </c>
      <c r="G76" t="inlineStr">
        <is>
          <t>SIGTUNA</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45319-2023</t>
        </is>
      </c>
      <c r="B77" t="inlineStr">
        <is>
          <t>avverkningsanmälan</t>
        </is>
      </c>
      <c r="C77" t="inlineStr">
        <is>
          <t>Föryngringsavverkning</t>
        </is>
      </c>
      <c r="D77" s="1" t="n">
        <v>45191</v>
      </c>
      <c r="E77" s="1" t="n">
        <v>46281</v>
      </c>
      <c r="F77" t="inlineStr">
        <is>
          <t>STOCKHOLMS LÄN</t>
        </is>
      </c>
      <c r="G77" t="inlineStr">
        <is>
          <t>SIGTUNA</t>
        </is>
      </c>
      <c r="H77" t="inlineStr">
        <is>
          <t>Allmännings- och besparingsskogar</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37392-2024</t>
        </is>
      </c>
      <c r="B78" t="inlineStr">
        <is>
          <t>avverkningsanmälan</t>
        </is>
      </c>
      <c r="C78" t="inlineStr">
        <is>
          <t>Föryngringsavverkning</t>
        </is>
      </c>
      <c r="D78" s="1" t="n">
        <v>45540</v>
      </c>
      <c r="E78" s="1" t="n">
        <v>46281</v>
      </c>
      <c r="F78" t="inlineStr">
        <is>
          <t>STOCKHOLMS LÄN</t>
        </is>
      </c>
      <c r="G78" t="inlineStr">
        <is>
          <t>SIGTUNA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17286-2022</t>
        </is>
      </c>
      <c r="B79" t="inlineStr">
        <is>
          <t>avverkningsanmälan</t>
        </is>
      </c>
      <c r="C79" t="inlineStr">
        <is>
          <t>Avverkning för annat ändamål</t>
        </is>
      </c>
      <c r="D79" s="1" t="n">
        <v>44678</v>
      </c>
      <c r="E79" s="1" t="n">
        <v>46281</v>
      </c>
      <c r="F79" t="inlineStr">
        <is>
          <t>STOCKHOLMS LÄN</t>
        </is>
      </c>
      <c r="G79" t="inlineStr">
        <is>
          <t>SIGTUNA</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38465-2023</t>
        </is>
      </c>
      <c r="B80" t="inlineStr">
        <is>
          <t>avverkningsanmälan</t>
        </is>
      </c>
      <c r="C80" t="inlineStr">
        <is>
          <t>Föryngringsavverkning</t>
        </is>
      </c>
      <c r="D80" s="1" t="n">
        <v>45162</v>
      </c>
      <c r="E80" s="1" t="n">
        <v>46281</v>
      </c>
      <c r="F80" t="inlineStr">
        <is>
          <t>STOCKHOLMS LÄN</t>
        </is>
      </c>
      <c r="G80" t="inlineStr">
        <is>
          <t>SIGTUNA</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28752-2024</t>
        </is>
      </c>
      <c r="B81" t="inlineStr">
        <is>
          <t>avverkningsanmälan</t>
        </is>
      </c>
      <c r="C81" t="inlineStr">
        <is>
          <t>Föryngringsavverkning</t>
        </is>
      </c>
      <c r="D81" s="1" t="n">
        <v>45478</v>
      </c>
      <c r="E81" s="1" t="n">
        <v>46281</v>
      </c>
      <c r="F81" t="inlineStr">
        <is>
          <t>STOCKHOLMS LÄN</t>
        </is>
      </c>
      <c r="G81" t="inlineStr">
        <is>
          <t>SIGTUNA</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31684-2022</t>
        </is>
      </c>
      <c r="B82" t="inlineStr">
        <is>
          <t>avverkningsanmälan</t>
        </is>
      </c>
      <c r="C82" t="inlineStr">
        <is>
          <t>Avverkning för att bevara och utveckla /försöksver</t>
        </is>
      </c>
      <c r="D82" s="1" t="n">
        <v>44776</v>
      </c>
      <c r="E82" s="1" t="n">
        <v>46281</v>
      </c>
      <c r="F82" t="inlineStr">
        <is>
          <t>STOCKHOLMS LÄN</t>
        </is>
      </c>
      <c r="G82" t="inlineStr">
        <is>
          <t>SIGTUNA</t>
        </is>
      </c>
      <c r="H82" t="inlineStr">
        <is>
          <t>Kommuner</t>
        </is>
      </c>
      <c r="I82" t="n">
        <v>2.5</v>
      </c>
      <c r="J82" t="n">
        <v>0</v>
      </c>
      <c r="K82" t="n">
        <v>0</v>
      </c>
      <c r="L82" t="n">
        <v>0</v>
      </c>
      <c r="M82" t="n">
        <v>0</v>
      </c>
      <c r="N82" t="n">
        <v>0</v>
      </c>
      <c r="O82" t="n">
        <v>0</v>
      </c>
      <c r="P82" t="n">
        <v>0</v>
      </c>
      <c r="Q82" t="n">
        <v>0</v>
      </c>
      <c r="R82" t="n">
        <v>0</v>
      </c>
      <c r="S82" t="n">
        <v>0</v>
      </c>
      <c r="T82" t="n">
        <v>0</v>
      </c>
      <c r="U82" t="n">
        <v>0</v>
      </c>
      <c r="V82" s="2" t="inlineStr"/>
    </row>
    <row r="83" ht="15" customHeight="1">
      <c r="A83" t="inlineStr">
        <is>
          <t>A 862-2022</t>
        </is>
      </c>
      <c r="B83" t="inlineStr">
        <is>
          <t>avverkningsanmälan</t>
        </is>
      </c>
      <c r="C83" t="inlineStr">
        <is>
          <t>Avverkning för annat ändamål</t>
        </is>
      </c>
      <c r="D83" s="1" t="n">
        <v>44571</v>
      </c>
      <c r="E83" s="1" t="n">
        <v>46281</v>
      </c>
      <c r="F83" t="inlineStr">
        <is>
          <t>STOCKHOLMS LÄN</t>
        </is>
      </c>
      <c r="G83" t="inlineStr">
        <is>
          <t>SIGTUNA</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24636-2023</t>
        </is>
      </c>
      <c r="B84" t="inlineStr">
        <is>
          <t>avverkningsanmälan</t>
        </is>
      </c>
      <c r="C84" t="inlineStr">
        <is>
          <t>Föryngringsavverkning</t>
        </is>
      </c>
      <c r="D84" s="1" t="n">
        <v>45084</v>
      </c>
      <c r="E84" s="1" t="n">
        <v>46281</v>
      </c>
      <c r="F84" t="inlineStr">
        <is>
          <t>STOCKHOLMS LÄN</t>
        </is>
      </c>
      <c r="G84" t="inlineStr">
        <is>
          <t>SIGTUNA</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273-2025</t>
        </is>
      </c>
      <c r="B85" t="inlineStr">
        <is>
          <t>avverkningsanmälan</t>
        </is>
      </c>
      <c r="C85" t="inlineStr">
        <is>
          <t>Avverkning för annat ändamål</t>
        </is>
      </c>
      <c r="D85" s="1" t="n">
        <v>45653</v>
      </c>
      <c r="E85" s="1" t="n">
        <v>46281</v>
      </c>
      <c r="F85" t="inlineStr">
        <is>
          <t>STOCKHOLMS LÄN</t>
        </is>
      </c>
      <c r="G85" t="inlineStr">
        <is>
          <t>SIGTUNA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60865-2024</t>
        </is>
      </c>
      <c r="B86" t="inlineStr">
        <is>
          <t>avverkningsanmälan</t>
        </is>
      </c>
      <c r="C86" t="inlineStr">
        <is>
          <t>Föryngringsavverkning</t>
        </is>
      </c>
      <c r="D86" s="1" t="n">
        <v>45644</v>
      </c>
      <c r="E86" s="1" t="n">
        <v>46281</v>
      </c>
      <c r="F86" t="inlineStr">
        <is>
          <t>STOCKHOLMS LÄN</t>
        </is>
      </c>
      <c r="G86" t="inlineStr">
        <is>
          <t>SIGTUNA</t>
        </is>
      </c>
      <c r="I86" t="n">
        <v>0.2</v>
      </c>
      <c r="J86" t="n">
        <v>0</v>
      </c>
      <c r="K86" t="n">
        <v>0</v>
      </c>
      <c r="L86" t="n">
        <v>0</v>
      </c>
      <c r="M86" t="n">
        <v>0</v>
      </c>
      <c r="N86" t="n">
        <v>0</v>
      </c>
      <c r="O86" t="n">
        <v>0</v>
      </c>
      <c r="P86" t="n">
        <v>0</v>
      </c>
      <c r="Q86" t="n">
        <v>0</v>
      </c>
      <c r="R86" t="n">
        <v>0</v>
      </c>
      <c r="S86" t="n">
        <v>0</v>
      </c>
      <c r="T86" t="n">
        <v>0</v>
      </c>
      <c r="U86" t="n">
        <v>0</v>
      </c>
      <c r="V86" s="2" t="inlineStr"/>
    </row>
    <row r="87" ht="15" customHeight="1">
      <c r="A87" t="inlineStr">
        <is>
          <t>A 9120-2025</t>
        </is>
      </c>
      <c r="B87" t="inlineStr">
        <is>
          <t>avverkningsanmälan</t>
        </is>
      </c>
      <c r="C87" t="inlineStr">
        <is>
          <t>Föryngringsavverkning</t>
        </is>
      </c>
      <c r="D87" s="1" t="n">
        <v>45713</v>
      </c>
      <c r="E87" s="1" t="n">
        <v>46281</v>
      </c>
      <c r="F87" t="inlineStr">
        <is>
          <t>STOCKHOLMS LÄN</t>
        </is>
      </c>
      <c r="G87" t="inlineStr">
        <is>
          <t>SIGTUNA</t>
        </is>
      </c>
      <c r="H87" t="inlineStr">
        <is>
          <t>Allmännings- och besparingsskogar</t>
        </is>
      </c>
      <c r="I87" t="n">
        <v>9.699999999999999</v>
      </c>
      <c r="J87" t="n">
        <v>0</v>
      </c>
      <c r="K87" t="n">
        <v>0</v>
      </c>
      <c r="L87" t="n">
        <v>0</v>
      </c>
      <c r="M87" t="n">
        <v>0</v>
      </c>
      <c r="N87" t="n">
        <v>0</v>
      </c>
      <c r="O87" t="n">
        <v>0</v>
      </c>
      <c r="P87" t="n">
        <v>0</v>
      </c>
      <c r="Q87" t="n">
        <v>0</v>
      </c>
      <c r="R87" t="n">
        <v>0</v>
      </c>
      <c r="S87" t="n">
        <v>0</v>
      </c>
      <c r="T87" t="n">
        <v>0</v>
      </c>
      <c r="U87" t="n">
        <v>0</v>
      </c>
      <c r="V87" s="2" t="inlineStr"/>
    </row>
    <row r="88" ht="15" customHeight="1">
      <c r="A88" t="inlineStr">
        <is>
          <t>A 24967-2024</t>
        </is>
      </c>
      <c r="B88" t="inlineStr">
        <is>
          <t>avverkningsanmälan</t>
        </is>
      </c>
      <c r="C88" t="inlineStr">
        <is>
          <t>Föryngringsavverkning</t>
        </is>
      </c>
      <c r="D88" s="1" t="n">
        <v>45461</v>
      </c>
      <c r="E88" s="1" t="n">
        <v>46281</v>
      </c>
      <c r="F88" t="inlineStr">
        <is>
          <t>STOCKHOLMS LÄN</t>
        </is>
      </c>
      <c r="G88" t="inlineStr">
        <is>
          <t>SIGTUNA</t>
        </is>
      </c>
      <c r="I88" t="n">
        <v>3.5</v>
      </c>
      <c r="J88" t="n">
        <v>0</v>
      </c>
      <c r="K88" t="n">
        <v>0</v>
      </c>
      <c r="L88" t="n">
        <v>0</v>
      </c>
      <c r="M88" t="n">
        <v>0</v>
      </c>
      <c r="N88" t="n">
        <v>0</v>
      </c>
      <c r="O88" t="n">
        <v>0</v>
      </c>
      <c r="P88" t="n">
        <v>0</v>
      </c>
      <c r="Q88" t="n">
        <v>0</v>
      </c>
      <c r="R88" t="n">
        <v>0</v>
      </c>
      <c r="S88" t="n">
        <v>0</v>
      </c>
      <c r="T88" t="n">
        <v>0</v>
      </c>
      <c r="U88" t="n">
        <v>0</v>
      </c>
      <c r="V88" s="2" t="inlineStr"/>
    </row>
    <row r="89" ht="15" customHeight="1">
      <c r="A89" t="inlineStr">
        <is>
          <t>A 37339-2026</t>
        </is>
      </c>
      <c r="B89" t="inlineStr">
        <is>
          <t>avverkningsanmälan</t>
        </is>
      </c>
      <c r="C89" t="inlineStr">
        <is>
          <t>Föryngringsavverkning</t>
        </is>
      </c>
      <c r="D89" s="1" t="n">
        <v>46275</v>
      </c>
      <c r="E89" s="1" t="n">
        <v>46281</v>
      </c>
      <c r="F89" t="inlineStr">
        <is>
          <t>STOCKHOLMS LÄN</t>
        </is>
      </c>
      <c r="G89" t="inlineStr">
        <is>
          <t>SIGTUNA</t>
        </is>
      </c>
      <c r="I89" t="n">
        <v>3.6</v>
      </c>
      <c r="J89" t="n">
        <v>0</v>
      </c>
      <c r="K89" t="n">
        <v>0</v>
      </c>
      <c r="L89" t="n">
        <v>0</v>
      </c>
      <c r="M89" t="n">
        <v>0</v>
      </c>
      <c r="N89" t="n">
        <v>0</v>
      </c>
      <c r="O89" t="n">
        <v>0</v>
      </c>
      <c r="P89" t="n">
        <v>0</v>
      </c>
      <c r="Q89" t="n">
        <v>0</v>
      </c>
      <c r="R89" t="n">
        <v>0</v>
      </c>
      <c r="S89" t="n">
        <v>0</v>
      </c>
      <c r="T89" t="n">
        <v>0</v>
      </c>
      <c r="U89" t="n">
        <v>0</v>
      </c>
      <c r="V89" s="2" t="inlineStr"/>
    </row>
    <row r="90" ht="15" customHeight="1">
      <c r="A90" t="inlineStr">
        <is>
          <t>A 37345-2026</t>
        </is>
      </c>
      <c r="B90" t="inlineStr">
        <is>
          <t>avverkningsanmälan</t>
        </is>
      </c>
      <c r="C90" t="inlineStr">
        <is>
          <t>Föryngringsavverkning</t>
        </is>
      </c>
      <c r="D90" s="1" t="n">
        <v>46275</v>
      </c>
      <c r="E90" s="1" t="n">
        <v>46281</v>
      </c>
      <c r="F90" t="inlineStr">
        <is>
          <t>STOCKHOLMS LÄN</t>
        </is>
      </c>
      <c r="G90" t="inlineStr">
        <is>
          <t>SIGTUNA</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43158-2024</t>
        </is>
      </c>
      <c r="B91" t="inlineStr">
        <is>
          <t>avverkningsanmälan</t>
        </is>
      </c>
      <c r="C91" t="inlineStr">
        <is>
          <t>Föryngringsavverkning</t>
        </is>
      </c>
      <c r="D91" s="1" t="n">
        <v>45567</v>
      </c>
      <c r="E91" s="1" t="n">
        <v>46281</v>
      </c>
      <c r="F91" t="inlineStr">
        <is>
          <t>STOCKHOLMS LÄN</t>
        </is>
      </c>
      <c r="G91" t="inlineStr">
        <is>
          <t>SIGTUNA</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24946-2024</t>
        </is>
      </c>
      <c r="B92" t="inlineStr">
        <is>
          <t>avverkningsanmälan</t>
        </is>
      </c>
      <c r="C92" t="inlineStr">
        <is>
          <t>Föryngringsavverkning</t>
        </is>
      </c>
      <c r="D92" s="1" t="n">
        <v>45461</v>
      </c>
      <c r="E92" s="1" t="n">
        <v>46281</v>
      </c>
      <c r="F92" t="inlineStr">
        <is>
          <t>STOCKHOLMS LÄN</t>
        </is>
      </c>
      <c r="G92" t="inlineStr">
        <is>
          <t>SIGTUNA</t>
        </is>
      </c>
      <c r="I92" t="n">
        <v>12.5</v>
      </c>
      <c r="J92" t="n">
        <v>0</v>
      </c>
      <c r="K92" t="n">
        <v>0</v>
      </c>
      <c r="L92" t="n">
        <v>0</v>
      </c>
      <c r="M92" t="n">
        <v>0</v>
      </c>
      <c r="N92" t="n">
        <v>0</v>
      </c>
      <c r="O92" t="n">
        <v>0</v>
      </c>
      <c r="P92" t="n">
        <v>0</v>
      </c>
      <c r="Q92" t="n">
        <v>0</v>
      </c>
      <c r="R92" t="n">
        <v>0</v>
      </c>
      <c r="S92" t="n">
        <v>0</v>
      </c>
      <c r="T92" t="n">
        <v>0</v>
      </c>
      <c r="U92" t="n">
        <v>0</v>
      </c>
      <c r="V92" s="2" t="inlineStr"/>
    </row>
    <row r="93" ht="15" customHeight="1">
      <c r="A93" t="inlineStr">
        <is>
          <t>A 3890-2025</t>
        </is>
      </c>
      <c r="B93" t="inlineStr">
        <is>
          <t>avverkningsanmälan</t>
        </is>
      </c>
      <c r="C93" t="inlineStr">
        <is>
          <t>Föryngringsavverkning</t>
        </is>
      </c>
      <c r="D93" s="1" t="n">
        <v>45684</v>
      </c>
      <c r="E93" s="1" t="n">
        <v>46281</v>
      </c>
      <c r="F93" t="inlineStr">
        <is>
          <t>STOCKHOLMS LÄN</t>
        </is>
      </c>
      <c r="G93" t="inlineStr">
        <is>
          <t>SIGTUNA</t>
        </is>
      </c>
      <c r="I93" t="n">
        <v>2.9</v>
      </c>
      <c r="J93" t="n">
        <v>0</v>
      </c>
      <c r="K93" t="n">
        <v>0</v>
      </c>
      <c r="L93" t="n">
        <v>0</v>
      </c>
      <c r="M93" t="n">
        <v>0</v>
      </c>
      <c r="N93" t="n">
        <v>0</v>
      </c>
      <c r="O93" t="n">
        <v>0</v>
      </c>
      <c r="P93" t="n">
        <v>0</v>
      </c>
      <c r="Q93" t="n">
        <v>0</v>
      </c>
      <c r="R93" t="n">
        <v>0</v>
      </c>
      <c r="S93" t="n">
        <v>0</v>
      </c>
      <c r="T93" t="n">
        <v>0</v>
      </c>
      <c r="U93" t="n">
        <v>0</v>
      </c>
      <c r="V93" s="2" t="inlineStr"/>
    </row>
    <row r="94" ht="15" customHeight="1">
      <c r="A94" t="inlineStr">
        <is>
          <t>A 21513-2025</t>
        </is>
      </c>
      <c r="B94" t="inlineStr">
        <is>
          <t>avverkningsanmälan</t>
        </is>
      </c>
      <c r="C94" t="inlineStr">
        <is>
          <t>Föryngringsavverkning</t>
        </is>
      </c>
      <c r="D94" s="1" t="n">
        <v>45782</v>
      </c>
      <c r="E94" s="1" t="n">
        <v>46281</v>
      </c>
      <c r="F94" t="inlineStr">
        <is>
          <t>STOCKHOLMS LÄN</t>
        </is>
      </c>
      <c r="G94" t="inlineStr">
        <is>
          <t>SIGTUNA</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48375-2024</t>
        </is>
      </c>
      <c r="B95" t="inlineStr">
        <is>
          <t>avverkningsanmälan</t>
        </is>
      </c>
      <c r="C95" t="inlineStr">
        <is>
          <t>Föryngringsavverkning</t>
        </is>
      </c>
      <c r="D95" s="1" t="n">
        <v>45590</v>
      </c>
      <c r="E95" s="1" t="n">
        <v>46281</v>
      </c>
      <c r="F95" t="inlineStr">
        <is>
          <t>STOCKHOLMS LÄN</t>
        </is>
      </c>
      <c r="G95" t="inlineStr">
        <is>
          <t>SIGTUNA</t>
        </is>
      </c>
      <c r="H95" t="inlineStr">
        <is>
          <t>Allmännings- och besparingsskogar</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22402-2025</t>
        </is>
      </c>
      <c r="B96" t="inlineStr">
        <is>
          <t>avverkningsanmälan</t>
        </is>
      </c>
      <c r="C96" t="inlineStr">
        <is>
          <t>Föryngringsavverkning</t>
        </is>
      </c>
      <c r="D96" s="1" t="n">
        <v>45786</v>
      </c>
      <c r="E96" s="1" t="n">
        <v>46281</v>
      </c>
      <c r="F96" t="inlineStr">
        <is>
          <t>STOCKHOLMS LÄN</t>
        </is>
      </c>
      <c r="G96" t="inlineStr">
        <is>
          <t>SIGTUNA</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35961-2024</t>
        </is>
      </c>
      <c r="B97" t="inlineStr">
        <is>
          <t>avverkningsanmälan</t>
        </is>
      </c>
      <c r="C97" t="inlineStr">
        <is>
          <t>Föryngringsavverkning</t>
        </is>
      </c>
      <c r="D97" s="1" t="n">
        <v>45533</v>
      </c>
      <c r="E97" s="1" t="n">
        <v>46281</v>
      </c>
      <c r="F97" t="inlineStr">
        <is>
          <t>STOCKHOLMS LÄN</t>
        </is>
      </c>
      <c r="G97" t="inlineStr">
        <is>
          <t>SIGTUNA</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19031-2024</t>
        </is>
      </c>
      <c r="B98" t="inlineStr">
        <is>
          <t>avverkningsanmälan</t>
        </is>
      </c>
      <c r="C98" t="inlineStr">
        <is>
          <t>Avverkning för annat ändamål</t>
        </is>
      </c>
      <c r="D98" s="1" t="n">
        <v>45427</v>
      </c>
      <c r="E98" s="1" t="n">
        <v>46281</v>
      </c>
      <c r="F98" t="inlineStr">
        <is>
          <t>STOCKHOLMS LÄN</t>
        </is>
      </c>
      <c r="G98" t="inlineStr">
        <is>
          <t>SIGTUNA</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24105-2025</t>
        </is>
      </c>
      <c r="B99" t="inlineStr">
        <is>
          <t>avverkningsanmälan</t>
        </is>
      </c>
      <c r="C99" t="inlineStr">
        <is>
          <t>Föryngringsavverkning</t>
        </is>
      </c>
      <c r="D99" s="1" t="n">
        <v>45796</v>
      </c>
      <c r="E99" s="1" t="n">
        <v>46281</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60934-2023</t>
        </is>
      </c>
      <c r="B100" t="inlineStr">
        <is>
          <t>avverkningsanmälan</t>
        </is>
      </c>
      <c r="C100" t="inlineStr">
        <is>
          <t>Föryngringsavverkning</t>
        </is>
      </c>
      <c r="D100" s="1" t="n">
        <v>45261</v>
      </c>
      <c r="E100" s="1" t="n">
        <v>46281</v>
      </c>
      <c r="F100" t="inlineStr">
        <is>
          <t>STOCKHOLMS LÄN</t>
        </is>
      </c>
      <c r="G100" t="inlineStr">
        <is>
          <t>SIGTUNA</t>
        </is>
      </c>
      <c r="I100" t="n">
        <v>1.1</v>
      </c>
      <c r="J100" t="n">
        <v>0</v>
      </c>
      <c r="K100" t="n">
        <v>0</v>
      </c>
      <c r="L100" t="n">
        <v>0</v>
      </c>
      <c r="M100" t="n">
        <v>0</v>
      </c>
      <c r="N100" t="n">
        <v>0</v>
      </c>
      <c r="O100" t="n">
        <v>0</v>
      </c>
      <c r="P100" t="n">
        <v>0</v>
      </c>
      <c r="Q100" t="n">
        <v>0</v>
      </c>
      <c r="R100" t="n">
        <v>0</v>
      </c>
      <c r="S100" t="n">
        <v>0</v>
      </c>
      <c r="T100" t="n">
        <v>0</v>
      </c>
      <c r="U100" t="n">
        <v>0</v>
      </c>
      <c r="V100" s="2" t="inlineStr"/>
    </row>
    <row r="101">
      <c r="A101" t="inlineStr">
        <is>
          <t>A 28681-2025</t>
        </is>
      </c>
      <c r="B101" t="inlineStr">
        <is>
          <t>avverkningsanmälan</t>
        </is>
      </c>
      <c r="C101" t="inlineStr">
        <is>
          <t>Föryngringsavverkning</t>
        </is>
      </c>
      <c r="D101" s="1" t="n">
        <v>45819</v>
      </c>
      <c r="E101" s="1" t="n">
        <v>46281</v>
      </c>
      <c r="F101" t="inlineStr">
        <is>
          <t>STOCKHOLMS LÄN</t>
        </is>
      </c>
      <c r="G101" t="inlineStr">
        <is>
          <t>SIGTUNA</t>
        </is>
      </c>
      <c r="I101" t="n">
        <v>7.5</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2026-09-16T02:00:43Z</dcterms:created>
  <dcterms:modified xmlns:dcterms="http://purl.org/dc/terms/" xmlns:xsi="http://www.w3.org/2001/XMLSchema-instance" xsi:type="dcterms:W3CDTF">2026-09-16T02:00:43Z</dcterms:modified>
</cp:coreProperties>
</file>
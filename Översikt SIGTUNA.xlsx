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46301</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46301</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46301</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46301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46301</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46301</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46301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46301</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46301</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46301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46301</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37339-2026</t>
        </is>
      </c>
      <c r="B21" t="inlineStr">
        <is>
          <t>avverkningsanmälan</t>
        </is>
      </c>
      <c r="C21" t="inlineStr">
        <is>
          <t>Föryngringsavverkning</t>
        </is>
      </c>
      <c r="D21" s="1" t="n">
        <v>46275</v>
      </c>
      <c r="E21" s="1" t="n">
        <v>46301</v>
      </c>
      <c r="F21" t="inlineStr">
        <is>
          <t>STOCKHOLMS LÄN</t>
        </is>
      </c>
      <c r="G21" t="inlineStr">
        <is>
          <t>SIGTUNA</t>
        </is>
      </c>
      <c r="I21" t="n">
        <v>3.6</v>
      </c>
      <c r="J21" t="n">
        <v>0</v>
      </c>
      <c r="K21" t="n">
        <v>0</v>
      </c>
      <c r="L21" t="n">
        <v>0</v>
      </c>
      <c r="M21" t="n">
        <v>1</v>
      </c>
      <c r="N21" t="n">
        <v>0</v>
      </c>
      <c r="O21" t="n">
        <v>0</v>
      </c>
      <c r="P21" t="n">
        <v>0</v>
      </c>
      <c r="Q21" t="n">
        <v>1</v>
      </c>
      <c r="R21" t="n">
        <v>1</v>
      </c>
      <c r="S21" t="n">
        <v>1</v>
      </c>
      <c r="T21" t="n">
        <v>1</v>
      </c>
      <c r="U21" t="n">
        <v>1</v>
      </c>
      <c r="V21" s="2" t="inlineStr">
        <is>
          <t>Svartfjällig musseron</t>
        </is>
      </c>
      <c r="W21">
        <f>HYPERLINK("https://klasma.github.io/Logging_0191/artfynd/A 37339-2026 artfynd.xlsx", "A 37339-2026")</f>
        <v/>
      </c>
      <c r="X21">
        <f>HYPERLINK("https://klasma.github.io/Logging_0191/kartor/A 37339-2026 karta.png", "A 37339-2026")</f>
        <v/>
      </c>
      <c r="Y21">
        <f>HYPERLINK("https://klasma.github.io/Logging_0191/kartor_geotiff/A 37339-2026 georefererad karta.tif", "A 37339-2026")</f>
        <v/>
      </c>
      <c r="AA21">
        <f>HYPERLINK("https://klasma.github.io/Logging_0191/klagomål/A 37339-2026 FSC-klagomål.docx", "A 37339-2026")</f>
        <v/>
      </c>
      <c r="AB21">
        <f>HYPERLINK("https://klasma.github.io/Logging_0191/klagomålsmail/A 37339-2026 FSC-klagomål mail.docx", "A 37339-2026")</f>
        <v/>
      </c>
      <c r="AC21">
        <f>HYPERLINK("https://klasma.github.io/Logging_0191/tillsyn/A 37339-2026 tillsynsbegäran.docx", "A 37339-2026")</f>
        <v/>
      </c>
      <c r="AD21">
        <f>HYPERLINK("https://klasma.github.io/Logging_0191/tillsynsmail/A 37339-2026 tillsynsbegäran mail.docx", "A 37339-2026")</f>
        <v/>
      </c>
    </row>
    <row r="22" ht="15" customHeight="1">
      <c r="A22" t="inlineStr">
        <is>
          <t>A 15452-2023</t>
        </is>
      </c>
      <c r="B22" t="inlineStr">
        <is>
          <t>avverkningsanmälan</t>
        </is>
      </c>
      <c r="C22" t="inlineStr">
        <is>
          <t>Avverkning för annat ändamål</t>
        </is>
      </c>
      <c r="D22" s="1" t="n">
        <v>45020</v>
      </c>
      <c r="E22" s="1" t="n">
        <v>46301</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46301</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46301</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46301</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46301</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46301</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46301</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46301</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59168-2022</t>
        </is>
      </c>
      <c r="B30" t="inlineStr">
        <is>
          <t>avverkningsanmälan</t>
        </is>
      </c>
      <c r="C30" t="inlineStr">
        <is>
          <t>Föryngringsavverkning</t>
        </is>
      </c>
      <c r="D30" s="1" t="n">
        <v>44904</v>
      </c>
      <c r="E30" s="1" t="n">
        <v>46301</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41702-2023</t>
        </is>
      </c>
      <c r="B31" t="inlineStr">
        <is>
          <t>avverkningsanmälan</t>
        </is>
      </c>
      <c r="C31" t="inlineStr">
        <is>
          <t>Föryngringsavverkning</t>
        </is>
      </c>
      <c r="D31" s="1" t="n">
        <v>45176</v>
      </c>
      <c r="E31" s="1" t="n">
        <v>46301</v>
      </c>
      <c r="F31" t="inlineStr">
        <is>
          <t>STOCKHOLMS LÄN</t>
        </is>
      </c>
      <c r="G31" t="inlineStr">
        <is>
          <t>SIGTUNA</t>
        </is>
      </c>
      <c r="H31" t="inlineStr">
        <is>
          <t>Allmännings- och besparingsskogar</t>
        </is>
      </c>
      <c r="I31" t="n">
        <v>1.8</v>
      </c>
      <c r="J31" t="n">
        <v>0</v>
      </c>
      <c r="K31" t="n">
        <v>0</v>
      </c>
      <c r="L31" t="n">
        <v>0</v>
      </c>
      <c r="M31" t="n">
        <v>0</v>
      </c>
      <c r="N31" t="n">
        <v>0</v>
      </c>
      <c r="O31" t="n">
        <v>0</v>
      </c>
      <c r="P31" t="n">
        <v>0</v>
      </c>
      <c r="Q31" t="n">
        <v>0</v>
      </c>
      <c r="R31" t="n">
        <v>0</v>
      </c>
      <c r="S31" t="n">
        <v>0</v>
      </c>
      <c r="T31" t="n">
        <v>0</v>
      </c>
      <c r="U31" t="n">
        <v>0</v>
      </c>
      <c r="V31" s="2" t="inlineStr"/>
    </row>
    <row r="32" ht="15" customHeight="1">
      <c r="A32" t="inlineStr">
        <is>
          <t>A 38276-2023</t>
        </is>
      </c>
      <c r="B32" t="inlineStr">
        <is>
          <t>avverkningsanmälan</t>
        </is>
      </c>
      <c r="C32" t="inlineStr">
        <is>
          <t>Föryngringsavverkning</t>
        </is>
      </c>
      <c r="D32" s="1" t="n">
        <v>45160</v>
      </c>
      <c r="E32" s="1" t="n">
        <v>46301</v>
      </c>
      <c r="F32" t="inlineStr">
        <is>
          <t>STOCKHOLMS LÄN</t>
        </is>
      </c>
      <c r="G32" t="inlineStr">
        <is>
          <t>SIGTUNA</t>
        </is>
      </c>
      <c r="I32" t="n">
        <v>18.1</v>
      </c>
      <c r="J32" t="n">
        <v>0</v>
      </c>
      <c r="K32" t="n">
        <v>0</v>
      </c>
      <c r="L32" t="n">
        <v>0</v>
      </c>
      <c r="M32" t="n">
        <v>0</v>
      </c>
      <c r="N32" t="n">
        <v>0</v>
      </c>
      <c r="O32" t="n">
        <v>0</v>
      </c>
      <c r="P32" t="n">
        <v>0</v>
      </c>
      <c r="Q32" t="n">
        <v>0</v>
      </c>
      <c r="R32" t="n">
        <v>0</v>
      </c>
      <c r="S32" t="n">
        <v>0</v>
      </c>
      <c r="T32" t="n">
        <v>0</v>
      </c>
      <c r="U32" t="n">
        <v>0</v>
      </c>
      <c r="V32" s="2" t="inlineStr"/>
    </row>
    <row r="33" ht="15" customHeight="1">
      <c r="A33" t="inlineStr">
        <is>
          <t>A 45233-2024</t>
        </is>
      </c>
      <c r="B33" t="inlineStr">
        <is>
          <t>avverkningsanmälan</t>
        </is>
      </c>
      <c r="C33" t="inlineStr">
        <is>
          <t>Föryngringsavverkning</t>
        </is>
      </c>
      <c r="D33" s="1" t="n">
        <v>45575</v>
      </c>
      <c r="E33" s="1" t="n">
        <v>46301</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20375-2023</t>
        </is>
      </c>
      <c r="B34" t="inlineStr">
        <is>
          <t>avverkningsanmälan</t>
        </is>
      </c>
      <c r="C34" t="inlineStr">
        <is>
          <t>Föryngringsavverkning</t>
        </is>
      </c>
      <c r="D34" s="1" t="n">
        <v>45054</v>
      </c>
      <c r="E34" s="1" t="n">
        <v>46301</v>
      </c>
      <c r="F34" t="inlineStr">
        <is>
          <t>STOCKHOLMS LÄN</t>
        </is>
      </c>
      <c r="G34" t="inlineStr">
        <is>
          <t>SIGTUNA</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46301</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4788-2026</t>
        </is>
      </c>
      <c r="B36" t="inlineStr">
        <is>
          <t>avverkningsanmälan</t>
        </is>
      </c>
      <c r="C36" t="inlineStr">
        <is>
          <t>Föryngringsavverkning</t>
        </is>
      </c>
      <c r="D36" s="1" t="n">
        <v>46048</v>
      </c>
      <c r="E36" s="1" t="n">
        <v>46301</v>
      </c>
      <c r="F36" t="inlineStr">
        <is>
          <t>STOCKHOLMS LÄN</t>
        </is>
      </c>
      <c r="G36" t="inlineStr">
        <is>
          <t>SIGTUNA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46301</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46301</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46301</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46301</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46301</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47392-2025</t>
        </is>
      </c>
      <c r="B42" t="inlineStr">
        <is>
          <t>avverkningsanmälan</t>
        </is>
      </c>
      <c r="C42" t="inlineStr">
        <is>
          <t>Föryngringsavverkning</t>
        </is>
      </c>
      <c r="D42" s="1" t="n">
        <v>45930</v>
      </c>
      <c r="E42" s="1" t="n">
        <v>46301</v>
      </c>
      <c r="F42" t="inlineStr">
        <is>
          <t>STOCKHOLMS LÄN</t>
        </is>
      </c>
      <c r="G42" t="inlineStr">
        <is>
          <t>SIGTUNA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42572-2024</t>
        </is>
      </c>
      <c r="B43" t="inlineStr">
        <is>
          <t>avverkningsanmälan</t>
        </is>
      </c>
      <c r="C43" t="inlineStr">
        <is>
          <t>Föryngringsavverkning</t>
        </is>
      </c>
      <c r="D43" s="1" t="n">
        <v>45565</v>
      </c>
      <c r="E43" s="1" t="n">
        <v>46301</v>
      </c>
      <c r="F43" t="inlineStr">
        <is>
          <t>STOCKHOLMS LÄN</t>
        </is>
      </c>
      <c r="G43" t="inlineStr">
        <is>
          <t>SIGTUNA</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56796-2022</t>
        </is>
      </c>
      <c r="B44" t="inlineStr">
        <is>
          <t>avverkningsanmälan</t>
        </is>
      </c>
      <c r="C44" t="inlineStr">
        <is>
          <t>Föryngringsavverkning</t>
        </is>
      </c>
      <c r="D44" s="1" t="n">
        <v>44894</v>
      </c>
      <c r="E44" s="1" t="n">
        <v>46301</v>
      </c>
      <c r="F44" t="inlineStr">
        <is>
          <t>STOCKHOLMS LÄN</t>
        </is>
      </c>
      <c r="G44" t="inlineStr">
        <is>
          <t>SIGTUNA</t>
        </is>
      </c>
      <c r="I44" t="n">
        <v>5.2</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46301</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12052-2026</t>
        </is>
      </c>
      <c r="B46" t="inlineStr">
        <is>
          <t>avverkningsanmälan</t>
        </is>
      </c>
      <c r="C46" t="inlineStr">
        <is>
          <t>Föryngringsavverkning</t>
        </is>
      </c>
      <c r="D46" s="1" t="n">
        <v>46086</v>
      </c>
      <c r="E46" s="1" t="n">
        <v>46301</v>
      </c>
      <c r="F46" t="inlineStr">
        <is>
          <t>STOCKHOLMS LÄN</t>
        </is>
      </c>
      <c r="G46" t="inlineStr">
        <is>
          <t>SIGTUNA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13662-2026</t>
        </is>
      </c>
      <c r="B47" t="inlineStr">
        <is>
          <t>avverkningsanmälan</t>
        </is>
      </c>
      <c r="C47" t="inlineStr">
        <is>
          <t>Föryngringsavverkning</t>
        </is>
      </c>
      <c r="D47" s="1" t="n">
        <v>46097</v>
      </c>
      <c r="E47" s="1" t="n">
        <v>46301</v>
      </c>
      <c r="F47" t="inlineStr">
        <is>
          <t>STOCKHOLMS LÄN</t>
        </is>
      </c>
      <c r="G47" t="inlineStr">
        <is>
          <t>SIGTUNA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46301</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25452-2023</t>
        </is>
      </c>
      <c r="B49" t="inlineStr">
        <is>
          <t>avverkningsanmälan</t>
        </is>
      </c>
      <c r="C49" t="inlineStr">
        <is>
          <t>Föryngringsavverkning</t>
        </is>
      </c>
      <c r="D49" s="1" t="n">
        <v>45089</v>
      </c>
      <c r="E49" s="1" t="n">
        <v>46301</v>
      </c>
      <c r="F49" t="inlineStr">
        <is>
          <t>STOCKHOLMS LÄN</t>
        </is>
      </c>
      <c r="G49" t="inlineStr">
        <is>
          <t>SIGTUNA</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25459-2023</t>
        </is>
      </c>
      <c r="B50" t="inlineStr">
        <is>
          <t>avverkningsanmälan</t>
        </is>
      </c>
      <c r="C50" t="inlineStr">
        <is>
          <t>Föryngringsavverkning</t>
        </is>
      </c>
      <c r="D50" s="1" t="n">
        <v>45089</v>
      </c>
      <c r="E50" s="1" t="n">
        <v>46301</v>
      </c>
      <c r="F50" t="inlineStr">
        <is>
          <t>STOCKHOLMS LÄN</t>
        </is>
      </c>
      <c r="G50" t="inlineStr">
        <is>
          <t>SIGTUNA</t>
        </is>
      </c>
      <c r="H50" t="inlineStr">
        <is>
          <t>Sveaskog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46301</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46301</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46301</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43700-2023</t>
        </is>
      </c>
      <c r="B54" t="inlineStr">
        <is>
          <t>avverkningsanmälan</t>
        </is>
      </c>
      <c r="C54" t="inlineStr">
        <is>
          <t>Föryngringsavverkning</t>
        </is>
      </c>
      <c r="D54" s="1" t="n">
        <v>45187</v>
      </c>
      <c r="E54" s="1" t="n">
        <v>46301</v>
      </c>
      <c r="F54" t="inlineStr">
        <is>
          <t>STOCKHOLMS LÄN</t>
        </is>
      </c>
      <c r="G54" t="inlineStr">
        <is>
          <t>SIGTUNA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72530-2021</t>
        </is>
      </c>
      <c r="B55" t="inlineStr">
        <is>
          <t>avverkningsanmälan</t>
        </is>
      </c>
      <c r="C55" t="inlineStr">
        <is>
          <t>Avverkning för annat ändamål</t>
        </is>
      </c>
      <c r="D55" s="1" t="n">
        <v>44546</v>
      </c>
      <c r="E55" s="1" t="n">
        <v>46301</v>
      </c>
      <c r="F55" t="inlineStr">
        <is>
          <t>STOCKHOLMS LÄN</t>
        </is>
      </c>
      <c r="G55" t="inlineStr">
        <is>
          <t>SIGTUNA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74170-2021</t>
        </is>
      </c>
      <c r="B56" t="inlineStr">
        <is>
          <t>avverkningsanmälan</t>
        </is>
      </c>
      <c r="C56" t="inlineStr">
        <is>
          <t>Föryngringsavverkning</t>
        </is>
      </c>
      <c r="D56" s="1" t="n">
        <v>44557</v>
      </c>
      <c r="E56" s="1" t="n">
        <v>46301</v>
      </c>
      <c r="F56" t="inlineStr">
        <is>
          <t>STOCKHOLMS LÄN</t>
        </is>
      </c>
      <c r="G56" t="inlineStr">
        <is>
          <t>SIGTUNA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17320-2023</t>
        </is>
      </c>
      <c r="B57" t="inlineStr">
        <is>
          <t>avverkningsanmälan</t>
        </is>
      </c>
      <c r="C57" t="inlineStr">
        <is>
          <t>Föryngringsavverkning</t>
        </is>
      </c>
      <c r="D57" s="1" t="n">
        <v>45035</v>
      </c>
      <c r="E57" s="1" t="n">
        <v>46301</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7214-2022</t>
        </is>
      </c>
      <c r="B58" t="inlineStr">
        <is>
          <t>avverkningsanmälan</t>
        </is>
      </c>
      <c r="C58" t="inlineStr">
        <is>
          <t>Föryngringsavverkning</t>
        </is>
      </c>
      <c r="D58" s="1" t="n">
        <v>44606</v>
      </c>
      <c r="E58" s="1" t="n">
        <v>46301</v>
      </c>
      <c r="F58" t="inlineStr">
        <is>
          <t>STOCKHOLMS LÄN</t>
        </is>
      </c>
      <c r="G58" t="inlineStr">
        <is>
          <t>SIGTUNA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45319-2023</t>
        </is>
      </c>
      <c r="B59" t="inlineStr">
        <is>
          <t>avverkningsanmälan</t>
        </is>
      </c>
      <c r="C59" t="inlineStr">
        <is>
          <t>Föryngringsavverkning</t>
        </is>
      </c>
      <c r="D59" s="1" t="n">
        <v>45191</v>
      </c>
      <c r="E59" s="1" t="n">
        <v>46301</v>
      </c>
      <c r="F59" t="inlineStr">
        <is>
          <t>STOCKHOLMS LÄN</t>
        </is>
      </c>
      <c r="G59" t="inlineStr">
        <is>
          <t>SIGTUNA</t>
        </is>
      </c>
      <c r="H59" t="inlineStr">
        <is>
          <t>Allmännings- och besparingsskogar</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9856-2024</t>
        </is>
      </c>
      <c r="B60" t="inlineStr">
        <is>
          <t>avverkningsanmälan</t>
        </is>
      </c>
      <c r="C60" t="inlineStr">
        <is>
          <t>Avverkning för annat ändamål</t>
        </is>
      </c>
      <c r="D60" s="1" t="n">
        <v>45363</v>
      </c>
      <c r="E60" s="1" t="n">
        <v>46301</v>
      </c>
      <c r="F60" t="inlineStr">
        <is>
          <t>STOCKHOLMS LÄN</t>
        </is>
      </c>
      <c r="G60" t="inlineStr">
        <is>
          <t>SIGTUNA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17286-2022</t>
        </is>
      </c>
      <c r="B61" t="inlineStr">
        <is>
          <t>avverkningsanmälan</t>
        </is>
      </c>
      <c r="C61" t="inlineStr">
        <is>
          <t>Avverkning för annat ändamål</t>
        </is>
      </c>
      <c r="D61" s="1" t="n">
        <v>44678</v>
      </c>
      <c r="E61" s="1" t="n">
        <v>46301</v>
      </c>
      <c r="F61" t="inlineStr">
        <is>
          <t>STOCKHOLMS LÄN</t>
        </is>
      </c>
      <c r="G61" t="inlineStr">
        <is>
          <t>SIGTUNA</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22913-2026</t>
        </is>
      </c>
      <c r="B62" t="inlineStr">
        <is>
          <t>avverkningsanmälan</t>
        </is>
      </c>
      <c r="C62" t="inlineStr">
        <is>
          <t>Föryngringsavverkning</t>
        </is>
      </c>
      <c r="D62" s="1" t="n">
        <v>46159</v>
      </c>
      <c r="E62" s="1" t="n">
        <v>46301</v>
      </c>
      <c r="F62" t="inlineStr">
        <is>
          <t>STOCKHOLMS LÄN</t>
        </is>
      </c>
      <c r="G62" t="inlineStr">
        <is>
          <t>SIGTUNA</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28752-2024</t>
        </is>
      </c>
      <c r="B63" t="inlineStr">
        <is>
          <t>avverkningsanmälan</t>
        </is>
      </c>
      <c r="C63" t="inlineStr">
        <is>
          <t>Föryngringsavverkning</t>
        </is>
      </c>
      <c r="D63" s="1" t="n">
        <v>45478</v>
      </c>
      <c r="E63" s="1" t="n">
        <v>46301</v>
      </c>
      <c r="F63" t="inlineStr">
        <is>
          <t>STOCKHOLMS LÄN</t>
        </is>
      </c>
      <c r="G63" t="inlineStr">
        <is>
          <t>SIGTUNA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862-2022</t>
        </is>
      </c>
      <c r="B64" t="inlineStr">
        <is>
          <t>avverkningsanmälan</t>
        </is>
      </c>
      <c r="C64" t="inlineStr">
        <is>
          <t>Avverkning för annat ändamål</t>
        </is>
      </c>
      <c r="D64" s="1" t="n">
        <v>44571</v>
      </c>
      <c r="E64" s="1" t="n">
        <v>46301</v>
      </c>
      <c r="F64" t="inlineStr">
        <is>
          <t>STOCKHOLMS LÄN</t>
        </is>
      </c>
      <c r="G64" t="inlineStr">
        <is>
          <t>SIGTUNA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32424-2023</t>
        </is>
      </c>
      <c r="B65" t="inlineStr">
        <is>
          <t>avverkningsanmälan</t>
        </is>
      </c>
      <c r="C65" t="inlineStr">
        <is>
          <t>Föryngringsavverkning</t>
        </is>
      </c>
      <c r="D65" s="1" t="n">
        <v>45110</v>
      </c>
      <c r="E65" s="1" t="n">
        <v>46301</v>
      </c>
      <c r="F65" t="inlineStr">
        <is>
          <t>STOCKHOLMS LÄN</t>
        </is>
      </c>
      <c r="G65" t="inlineStr">
        <is>
          <t>SIGTUNA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32426-2023</t>
        </is>
      </c>
      <c r="B66" t="inlineStr">
        <is>
          <t>avverkningsanmälan</t>
        </is>
      </c>
      <c r="C66" t="inlineStr">
        <is>
          <t>Föryngringsavverkning</t>
        </is>
      </c>
      <c r="D66" s="1" t="n">
        <v>45110</v>
      </c>
      <c r="E66" s="1" t="n">
        <v>46301</v>
      </c>
      <c r="F66" t="inlineStr">
        <is>
          <t>STOCKHOLMS LÄN</t>
        </is>
      </c>
      <c r="G66" t="inlineStr">
        <is>
          <t>SIGTUNA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46301</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273-2025</t>
        </is>
      </c>
      <c r="B68" t="inlineStr">
        <is>
          <t>avverkningsanmälan</t>
        </is>
      </c>
      <c r="C68" t="inlineStr">
        <is>
          <t>Avverkning för annat ändamål</t>
        </is>
      </c>
      <c r="D68" s="1" t="n">
        <v>45653</v>
      </c>
      <c r="E68" s="1" t="n">
        <v>46301</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31695-2022</t>
        </is>
      </c>
      <c r="B69" t="inlineStr">
        <is>
          <t>avverkningsanmälan</t>
        </is>
      </c>
      <c r="C69" t="inlineStr">
        <is>
          <t>Avverkning för att bevara och utveckla /försöksver</t>
        </is>
      </c>
      <c r="D69" s="1" t="n">
        <v>44776</v>
      </c>
      <c r="E69" s="1" t="n">
        <v>46301</v>
      </c>
      <c r="F69" t="inlineStr">
        <is>
          <t>STOCKHOLMS LÄN</t>
        </is>
      </c>
      <c r="G69" t="inlineStr">
        <is>
          <t>SIGTUNA</t>
        </is>
      </c>
      <c r="H69" t="inlineStr">
        <is>
          <t>Kommuner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59957-2023</t>
        </is>
      </c>
      <c r="B70" t="inlineStr">
        <is>
          <t>avverkningsanmälan</t>
        </is>
      </c>
      <c r="C70" t="inlineStr">
        <is>
          <t>Föryngringsavverkning</t>
        </is>
      </c>
      <c r="D70" s="1" t="n">
        <v>45257</v>
      </c>
      <c r="E70" s="1" t="n">
        <v>46301</v>
      </c>
      <c r="F70" t="inlineStr">
        <is>
          <t>STOCKHOLMS LÄN</t>
        </is>
      </c>
      <c r="G70" t="inlineStr">
        <is>
          <t>SIGTUNA</t>
        </is>
      </c>
      <c r="H70" t="inlineStr">
        <is>
          <t>Sveaskog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2496-2024</t>
        </is>
      </c>
      <c r="B71" t="inlineStr">
        <is>
          <t>avverkningsanmälan</t>
        </is>
      </c>
      <c r="C71" t="inlineStr">
        <is>
          <t>Föryngringsavverkning</t>
        </is>
      </c>
      <c r="D71" s="1" t="n">
        <v>45313</v>
      </c>
      <c r="E71" s="1" t="n">
        <v>46301</v>
      </c>
      <c r="F71" t="inlineStr">
        <is>
          <t>STOCKHOLMS LÄN</t>
        </is>
      </c>
      <c r="G71" t="inlineStr">
        <is>
          <t>SIGTUNA</t>
        </is>
      </c>
      <c r="H71" t="inlineStr">
        <is>
          <t>Kommuner</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35966-2024</t>
        </is>
      </c>
      <c r="B72" t="inlineStr">
        <is>
          <t>avverkningsanmälan</t>
        </is>
      </c>
      <c r="C72" t="inlineStr">
        <is>
          <t>Föryngringsavverkning</t>
        </is>
      </c>
      <c r="D72" s="1" t="n">
        <v>45533</v>
      </c>
      <c r="E72" s="1" t="n">
        <v>46301</v>
      </c>
      <c r="F72" t="inlineStr">
        <is>
          <t>STOCKHOLMS LÄN</t>
        </is>
      </c>
      <c r="G72" t="inlineStr">
        <is>
          <t>SIGTUNA</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36179-2022</t>
        </is>
      </c>
      <c r="B73" t="inlineStr">
        <is>
          <t>avverkningsanmälan</t>
        </is>
      </c>
      <c r="C73" t="inlineStr">
        <is>
          <t>Föryngringsavverkning</t>
        </is>
      </c>
      <c r="D73" s="1" t="n">
        <v>44803</v>
      </c>
      <c r="E73" s="1" t="n">
        <v>46301</v>
      </c>
      <c r="F73" t="inlineStr">
        <is>
          <t>STOCKHOLMS LÄN</t>
        </is>
      </c>
      <c r="G73" t="inlineStr">
        <is>
          <t>SIGTUNA</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36181-2022</t>
        </is>
      </c>
      <c r="B74" t="inlineStr">
        <is>
          <t>avverkningsanmälan</t>
        </is>
      </c>
      <c r="C74" t="inlineStr">
        <is>
          <t>Föryngringsavverkning</t>
        </is>
      </c>
      <c r="D74" s="1" t="n">
        <v>44803</v>
      </c>
      <c r="E74" s="1" t="n">
        <v>46301</v>
      </c>
      <c r="F74" t="inlineStr">
        <is>
          <t>STOCKHOLMS LÄN</t>
        </is>
      </c>
      <c r="G74" t="inlineStr">
        <is>
          <t>SIGTUNA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6826-2025</t>
        </is>
      </c>
      <c r="B75" t="inlineStr">
        <is>
          <t>avverkningsanmälan</t>
        </is>
      </c>
      <c r="C75" t="inlineStr">
        <is>
          <t>Avverkning för annat ändamål</t>
        </is>
      </c>
      <c r="D75" s="1" t="n">
        <v>45700</v>
      </c>
      <c r="E75" s="1" t="n">
        <v>46301</v>
      </c>
      <c r="F75" t="inlineStr">
        <is>
          <t>STOCKHOLMS LÄN</t>
        </is>
      </c>
      <c r="G75" t="inlineStr">
        <is>
          <t>SIGTUNA</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11285-2023</t>
        </is>
      </c>
      <c r="B76" t="inlineStr">
        <is>
          <t>avverkningsanmälan</t>
        </is>
      </c>
      <c r="C76" t="inlineStr">
        <is>
          <t>Föryngringsavverkning</t>
        </is>
      </c>
      <c r="D76" s="1" t="n">
        <v>44992</v>
      </c>
      <c r="E76" s="1" t="n">
        <v>46301</v>
      </c>
      <c r="F76" t="inlineStr">
        <is>
          <t>STOCKHOLMS LÄN</t>
        </is>
      </c>
      <c r="G76" t="inlineStr">
        <is>
          <t>SIGTUNA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60922-2023</t>
        </is>
      </c>
      <c r="B77" t="inlineStr">
        <is>
          <t>avverkningsanmälan</t>
        </is>
      </c>
      <c r="C77" t="inlineStr">
        <is>
          <t>Föryngringsavverkning</t>
        </is>
      </c>
      <c r="D77" s="1" t="n">
        <v>45261</v>
      </c>
      <c r="E77" s="1" t="n">
        <v>46301</v>
      </c>
      <c r="F77" t="inlineStr">
        <is>
          <t>STOCKHOLMS LÄN</t>
        </is>
      </c>
      <c r="G77" t="inlineStr">
        <is>
          <t>SIGTUNA</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12931-2022</t>
        </is>
      </c>
      <c r="B78" t="inlineStr">
        <is>
          <t>avverkningsanmälan</t>
        </is>
      </c>
      <c r="C78" t="inlineStr">
        <is>
          <t>Föryngringsavverkning</t>
        </is>
      </c>
      <c r="D78" s="1" t="n">
        <v>44642</v>
      </c>
      <c r="E78" s="1" t="n">
        <v>46301</v>
      </c>
      <c r="F78" t="inlineStr">
        <is>
          <t>STOCKHOLMS LÄN</t>
        </is>
      </c>
      <c r="G78" t="inlineStr">
        <is>
          <t>SIGTUNA</t>
        </is>
      </c>
      <c r="H78" t="inlineStr">
        <is>
          <t>Kyrkan</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37345-2026</t>
        </is>
      </c>
      <c r="B79" t="inlineStr">
        <is>
          <t>avverkningsanmälan</t>
        </is>
      </c>
      <c r="C79" t="inlineStr">
        <is>
          <t>Föryngringsavverkning</t>
        </is>
      </c>
      <c r="D79" s="1" t="n">
        <v>46275</v>
      </c>
      <c r="E79" s="1" t="n">
        <v>46301</v>
      </c>
      <c r="F79" t="inlineStr">
        <is>
          <t>STOCKHOLMS LÄN</t>
        </is>
      </c>
      <c r="G79" t="inlineStr">
        <is>
          <t>SIGTUNA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41693-2022</t>
        </is>
      </c>
      <c r="B80" t="inlineStr">
        <is>
          <t>avverkningsanmälan</t>
        </is>
      </c>
      <c r="C80" t="inlineStr">
        <is>
          <t>Föryngringsavverkning</t>
        </is>
      </c>
      <c r="D80" s="1" t="n">
        <v>44827</v>
      </c>
      <c r="E80" s="1" t="n">
        <v>46301</v>
      </c>
      <c r="F80" t="inlineStr">
        <is>
          <t>STOCKHOLMS LÄN</t>
        </is>
      </c>
      <c r="G80" t="inlineStr">
        <is>
          <t>SIGTUNA</t>
        </is>
      </c>
      <c r="H80" t="inlineStr">
        <is>
          <t>Allmännings- och besparingsskogar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37392-2024</t>
        </is>
      </c>
      <c r="B81" t="inlineStr">
        <is>
          <t>avverkningsanmälan</t>
        </is>
      </c>
      <c r="C81" t="inlineStr">
        <is>
          <t>Föryngringsavverkning</t>
        </is>
      </c>
      <c r="D81" s="1" t="n">
        <v>45540</v>
      </c>
      <c r="E81" s="1" t="n">
        <v>46301</v>
      </c>
      <c r="F81" t="inlineStr">
        <is>
          <t>STOCKHOLMS LÄN</t>
        </is>
      </c>
      <c r="G81" t="inlineStr">
        <is>
          <t>SIGTUNA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38695-2026</t>
        </is>
      </c>
      <c r="B82" t="inlineStr">
        <is>
          <t>avverkningsanmälan</t>
        </is>
      </c>
      <c r="C82" t="inlineStr">
        <is>
          <t>Föryngringsavverkning</t>
        </is>
      </c>
      <c r="D82" s="1" t="n">
        <v>46283</v>
      </c>
      <c r="E82" s="1" t="n">
        <v>46301</v>
      </c>
      <c r="F82" t="inlineStr">
        <is>
          <t>STOCKHOLMS LÄN</t>
        </is>
      </c>
      <c r="G82" t="inlineStr">
        <is>
          <t>SIGTUNA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38465-2023</t>
        </is>
      </c>
      <c r="B83" t="inlineStr">
        <is>
          <t>avverkningsanmälan</t>
        </is>
      </c>
      <c r="C83" t="inlineStr">
        <is>
          <t>Föryngringsavverkning</t>
        </is>
      </c>
      <c r="D83" s="1" t="n">
        <v>45162</v>
      </c>
      <c r="E83" s="1" t="n">
        <v>46301</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31684-2022</t>
        </is>
      </c>
      <c r="B84" t="inlineStr">
        <is>
          <t>avverkningsanmälan</t>
        </is>
      </c>
      <c r="C84" t="inlineStr">
        <is>
          <t>Avverkning för att bevara och utveckla /försöksver</t>
        </is>
      </c>
      <c r="D84" s="1" t="n">
        <v>44776</v>
      </c>
      <c r="E84" s="1" t="n">
        <v>46301</v>
      </c>
      <c r="F84" t="inlineStr">
        <is>
          <t>STOCKHOLMS LÄN</t>
        </is>
      </c>
      <c r="G84" t="inlineStr">
        <is>
          <t>SIGTUNA</t>
        </is>
      </c>
      <c r="H84" t="inlineStr">
        <is>
          <t>Kommuner</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46301</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9120-2025</t>
        </is>
      </c>
      <c r="B86" t="inlineStr">
        <is>
          <t>avverkningsanmälan</t>
        </is>
      </c>
      <c r="C86" t="inlineStr">
        <is>
          <t>Föryngringsavverkning</t>
        </is>
      </c>
      <c r="D86" s="1" t="n">
        <v>45713</v>
      </c>
      <c r="E86" s="1" t="n">
        <v>46301</v>
      </c>
      <c r="F86" t="inlineStr">
        <is>
          <t>STOCKHOLMS LÄN</t>
        </is>
      </c>
      <c r="G86" t="inlineStr">
        <is>
          <t>SIGTUNA</t>
        </is>
      </c>
      <c r="H86" t="inlineStr">
        <is>
          <t>Allmännings- och besparingsskogar</t>
        </is>
      </c>
      <c r="I86" t="n">
        <v>9.699999999999999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24967-2024</t>
        </is>
      </c>
      <c r="B87" t="inlineStr">
        <is>
          <t>avverkningsanmälan</t>
        </is>
      </c>
      <c r="C87" t="inlineStr">
        <is>
          <t>Föryngringsavverkning</t>
        </is>
      </c>
      <c r="D87" s="1" t="n">
        <v>45461</v>
      </c>
      <c r="E87" s="1" t="n">
        <v>46301</v>
      </c>
      <c r="F87" t="inlineStr">
        <is>
          <t>STOCKHOLMS LÄN</t>
        </is>
      </c>
      <c r="G87" t="inlineStr">
        <is>
          <t>SIGTUNA</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43158-2024</t>
        </is>
      </c>
      <c r="B88" t="inlineStr">
        <is>
          <t>avverkningsanmälan</t>
        </is>
      </c>
      <c r="C88" t="inlineStr">
        <is>
          <t>Föryngringsavverkning</t>
        </is>
      </c>
      <c r="D88" s="1" t="n">
        <v>45567</v>
      </c>
      <c r="E88" s="1" t="n">
        <v>46301</v>
      </c>
      <c r="F88" t="inlineStr">
        <is>
          <t>STOCKHOLMS LÄN</t>
        </is>
      </c>
      <c r="G88" t="inlineStr">
        <is>
          <t>SIGTUNA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24946-2024</t>
        </is>
      </c>
      <c r="B89" t="inlineStr">
        <is>
          <t>avverkningsanmälan</t>
        </is>
      </c>
      <c r="C89" t="inlineStr">
        <is>
          <t>Föryngringsavverkning</t>
        </is>
      </c>
      <c r="D89" s="1" t="n">
        <v>45461</v>
      </c>
      <c r="E89" s="1" t="n">
        <v>46301</v>
      </c>
      <c r="F89" t="inlineStr">
        <is>
          <t>STOCKHOLMS LÄN</t>
        </is>
      </c>
      <c r="G89" t="inlineStr">
        <is>
          <t>SIGTUNA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46301</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21513-2025</t>
        </is>
      </c>
      <c r="B91" t="inlineStr">
        <is>
          <t>avverkningsanmälan</t>
        </is>
      </c>
      <c r="C91" t="inlineStr">
        <is>
          <t>Föryngringsavverkning</t>
        </is>
      </c>
      <c r="D91" s="1" t="n">
        <v>45782</v>
      </c>
      <c r="E91" s="1" t="n">
        <v>46301</v>
      </c>
      <c r="F91" t="inlineStr">
        <is>
          <t>STOCKHOLMS LÄN</t>
        </is>
      </c>
      <c r="G91" t="inlineStr">
        <is>
          <t>SIGTUNA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48375-2024</t>
        </is>
      </c>
      <c r="B92" t="inlineStr">
        <is>
          <t>avverkningsanmälan</t>
        </is>
      </c>
      <c r="C92" t="inlineStr">
        <is>
          <t>Föryngringsavverkning</t>
        </is>
      </c>
      <c r="D92" s="1" t="n">
        <v>45590</v>
      </c>
      <c r="E92" s="1" t="n">
        <v>46301</v>
      </c>
      <c r="F92" t="inlineStr">
        <is>
          <t>STOCKHOLMS LÄN</t>
        </is>
      </c>
      <c r="G92" t="inlineStr">
        <is>
          <t>SIGTUNA</t>
        </is>
      </c>
      <c r="H92" t="inlineStr">
        <is>
          <t>Allmännings- och besparingsskogar</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22402-2025</t>
        </is>
      </c>
      <c r="B93" t="inlineStr">
        <is>
          <t>avverkningsanmälan</t>
        </is>
      </c>
      <c r="C93" t="inlineStr">
        <is>
          <t>Föryngringsavverkning</t>
        </is>
      </c>
      <c r="D93" s="1" t="n">
        <v>45786</v>
      </c>
      <c r="E93" s="1" t="n">
        <v>46301</v>
      </c>
      <c r="F93" t="inlineStr">
        <is>
          <t>STOCKHOLMS LÄN</t>
        </is>
      </c>
      <c r="G93" t="inlineStr">
        <is>
          <t>SIGTUNA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35961-2024</t>
        </is>
      </c>
      <c r="B94" t="inlineStr">
        <is>
          <t>avverkningsanmälan</t>
        </is>
      </c>
      <c r="C94" t="inlineStr">
        <is>
          <t>Föryngringsavverkning</t>
        </is>
      </c>
      <c r="D94" s="1" t="n">
        <v>45533</v>
      </c>
      <c r="E94" s="1" t="n">
        <v>46301</v>
      </c>
      <c r="F94" t="inlineStr">
        <is>
          <t>STOCKHOLMS LÄN</t>
        </is>
      </c>
      <c r="G94" t="inlineStr">
        <is>
          <t>SIGTUNA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46301</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24105-2025</t>
        </is>
      </c>
      <c r="B96" t="inlineStr">
        <is>
          <t>avverkningsanmälan</t>
        </is>
      </c>
      <c r="C96" t="inlineStr">
        <is>
          <t>Föryngringsavverkning</t>
        </is>
      </c>
      <c r="D96" s="1" t="n">
        <v>45796</v>
      </c>
      <c r="E96" s="1" t="n">
        <v>46301</v>
      </c>
      <c r="F96" t="inlineStr">
        <is>
          <t>STOCKHOLMS LÄN</t>
        </is>
      </c>
      <c r="G96" t="inlineStr">
        <is>
          <t>SIGTUNA</t>
        </is>
      </c>
      <c r="I96" t="n">
        <v>3</v>
      </c>
      <c r="J96" t="n">
        <v>0</v>
      </c>
      <c r="K96" t="n">
        <v>0</v>
      </c>
      <c r="L96" t="n">
        <v>0</v>
      </c>
      <c r="M96" t="n">
        <v>0</v>
      </c>
      <c r="N96" t="n">
        <v>0</v>
      </c>
      <c r="O96" t="n">
        <v>0</v>
      </c>
      <c r="P96" t="n">
        <v>0</v>
      </c>
      <c r="Q96" t="n">
        <v>0</v>
      </c>
      <c r="R96" t="n">
        <v>0</v>
      </c>
      <c r="S96" t="n">
        <v>0</v>
      </c>
      <c r="T96" t="n">
        <v>0</v>
      </c>
      <c r="U96" t="n">
        <v>0</v>
      </c>
      <c r="V96" s="2" t="inlineStr"/>
    </row>
    <row r="97">
      <c r="A97" t="inlineStr">
        <is>
          <t>A 60934-2023</t>
        </is>
      </c>
      <c r="B97" t="inlineStr">
        <is>
          <t>avverkningsanmälan</t>
        </is>
      </c>
      <c r="C97" t="inlineStr">
        <is>
          <t>Föryngringsavverkning</t>
        </is>
      </c>
      <c r="D97" s="1" t="n">
        <v>45261</v>
      </c>
      <c r="E97" s="1" t="n">
        <v>46301</v>
      </c>
      <c r="F97" t="inlineStr">
        <is>
          <t>STOCKHOLMS LÄN</t>
        </is>
      </c>
      <c r="G97" t="inlineStr">
        <is>
          <t>SIGTUNA</t>
        </is>
      </c>
      <c r="I97" t="n">
        <v>1.1</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2026-10-06T01:56:09Z</dcterms:created>
  <dcterms:modified xmlns:dcterms="http://purl.org/dc/terms/" xmlns:xsi="http://www.w3.org/2001/XMLSchema-instance" xsi:type="dcterms:W3CDTF">2026-10-06T01:56:09Z</dcterms:modified>
</cp:coreProperties>
</file>